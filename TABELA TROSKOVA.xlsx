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VELIKA TABELA SISTEMI\"/>
    </mc:Choice>
  </mc:AlternateContent>
  <xr:revisionPtr revIDLastSave="0" documentId="13_ncr:1_{256E6115-6AC7-44CF-AD26-1F62AC9013B3}" xr6:coauthVersionLast="47" xr6:coauthVersionMax="47" xr10:uidLastSave="{00000000-0000-0000-0000-000000000000}"/>
  <bookViews>
    <workbookView xWindow="-108" yWindow="-108" windowWidth="23256" windowHeight="13896" xr2:uid="{2C872072-E4E1-47DB-BD90-2E0CD0E59F3B}"/>
  </bookViews>
  <sheets>
    <sheet name="tabela" sheetId="18" r:id="rId1"/>
    <sheet name="JANUAR 2026" sheetId="1" r:id="rId2"/>
    <sheet name="JANUAR 2025" sheetId="5" r:id="rId3"/>
    <sheet name="FEBRUAR 2025" sheetId="6" r:id="rId4"/>
    <sheet name="MART 2025" sheetId="7" r:id="rId5"/>
    <sheet name="APRIL 2025" sheetId="8" r:id="rId6"/>
    <sheet name="MAJ 2025" sheetId="9" r:id="rId7"/>
    <sheet name="JUN 2025" sheetId="10" r:id="rId8"/>
    <sheet name="JUL 2025" sheetId="11" r:id="rId9"/>
    <sheet name="AVGUST 2025" sheetId="12" r:id="rId10"/>
    <sheet name="SEPT 2025" sheetId="13" r:id="rId11"/>
    <sheet name="OKT 2025" sheetId="14" r:id="rId12"/>
    <sheet name="NOV 2025" sheetId="15" r:id="rId13"/>
    <sheet name="DEC 2025" sheetId="16" r:id="rId14"/>
  </sheets>
  <definedNames>
    <definedName name="_xlnm._FilterDatabase" localSheetId="1" hidden="1">'JANUAR 2026'!$C$11:$C$24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6" l="1"/>
  <c r="D17" i="16"/>
  <c r="D18" i="16"/>
  <c r="D19" i="16"/>
  <c r="D20" i="16"/>
  <c r="D21" i="16"/>
  <c r="D22" i="16"/>
  <c r="D23" i="16"/>
  <c r="D24" i="16"/>
  <c r="D25" i="16"/>
  <c r="D26" i="16"/>
  <c r="D15" i="16"/>
  <c r="F8" i="16"/>
  <c r="F7" i="16"/>
  <c r="C9" i="16"/>
  <c r="D16" i="15"/>
  <c r="D17" i="15"/>
  <c r="D18" i="15"/>
  <c r="D19" i="15"/>
  <c r="D20" i="15"/>
  <c r="D21" i="15"/>
  <c r="D22" i="15"/>
  <c r="D23" i="15"/>
  <c r="D24" i="15"/>
  <c r="D25" i="15"/>
  <c r="D26" i="15"/>
  <c r="D15" i="15"/>
  <c r="E15" i="15"/>
  <c r="F8" i="15"/>
  <c r="F7" i="15"/>
  <c r="F9" i="15" s="1"/>
  <c r="C9" i="15"/>
  <c r="C9" i="14"/>
  <c r="C9" i="13"/>
  <c r="C9" i="12"/>
  <c r="C9" i="11"/>
  <c r="C9" i="10"/>
  <c r="C9" i="9"/>
  <c r="C9" i="8"/>
  <c r="C9" i="7"/>
  <c r="C9" i="6"/>
  <c r="C9" i="5"/>
  <c r="D15" i="14"/>
  <c r="D16" i="14"/>
  <c r="D17" i="14"/>
  <c r="D18" i="14"/>
  <c r="D19" i="14"/>
  <c r="D20" i="14"/>
  <c r="D21" i="14"/>
  <c r="D22" i="14"/>
  <c r="D23" i="14"/>
  <c r="D24" i="14"/>
  <c r="D25" i="14"/>
  <c r="D26" i="14"/>
  <c r="E15" i="14"/>
  <c r="F8" i="14"/>
  <c r="F9" i="14" s="1"/>
  <c r="F7" i="14"/>
  <c r="D16" i="13"/>
  <c r="D17" i="13"/>
  <c r="D18" i="13"/>
  <c r="D19" i="13"/>
  <c r="D20" i="13"/>
  <c r="D21" i="13"/>
  <c r="D22" i="13"/>
  <c r="D23" i="13"/>
  <c r="D24" i="13"/>
  <c r="D25" i="13"/>
  <c r="D26" i="13"/>
  <c r="D15" i="13"/>
  <c r="F8" i="13"/>
  <c r="F7" i="13"/>
  <c r="D16" i="12"/>
  <c r="D17" i="12"/>
  <c r="D18" i="12"/>
  <c r="D19" i="12"/>
  <c r="D20" i="12"/>
  <c r="D21" i="12"/>
  <c r="D22" i="12"/>
  <c r="D23" i="12"/>
  <c r="D24" i="12"/>
  <c r="D25" i="12"/>
  <c r="D26" i="12"/>
  <c r="D15" i="12"/>
  <c r="F8" i="12"/>
  <c r="F9" i="12" s="1"/>
  <c r="F7" i="12"/>
  <c r="D16" i="11"/>
  <c r="D17" i="11"/>
  <c r="D18" i="11"/>
  <c r="D19" i="11"/>
  <c r="D20" i="11"/>
  <c r="D21" i="11"/>
  <c r="D22" i="11"/>
  <c r="D23" i="11"/>
  <c r="D24" i="11"/>
  <c r="D25" i="11"/>
  <c r="D26" i="11"/>
  <c r="D15" i="11"/>
  <c r="F9" i="11"/>
  <c r="F8" i="11"/>
  <c r="F7" i="11"/>
  <c r="D16" i="10"/>
  <c r="D17" i="10"/>
  <c r="D18" i="10"/>
  <c r="D19" i="10"/>
  <c r="D20" i="10"/>
  <c r="D21" i="10"/>
  <c r="D22" i="10"/>
  <c r="D23" i="10"/>
  <c r="D24" i="10"/>
  <c r="D25" i="10"/>
  <c r="D26" i="10"/>
  <c r="D15" i="10"/>
  <c r="E15" i="10"/>
  <c r="F9" i="10"/>
  <c r="F8" i="10"/>
  <c r="F7" i="10"/>
  <c r="D16" i="9"/>
  <c r="D17" i="9"/>
  <c r="D18" i="9"/>
  <c r="D19" i="9"/>
  <c r="D20" i="9"/>
  <c r="D21" i="9"/>
  <c r="D22" i="9"/>
  <c r="D23" i="9"/>
  <c r="D24" i="9"/>
  <c r="D25" i="9"/>
  <c r="D26" i="9"/>
  <c r="D15" i="9"/>
  <c r="F8" i="9"/>
  <c r="F7" i="9"/>
  <c r="D15" i="8"/>
  <c r="D16" i="8"/>
  <c r="D17" i="8"/>
  <c r="D18" i="8"/>
  <c r="D19" i="8"/>
  <c r="D20" i="8"/>
  <c r="D21" i="8"/>
  <c r="D22" i="8"/>
  <c r="D23" i="8"/>
  <c r="D24" i="8"/>
  <c r="D25" i="8"/>
  <c r="D14" i="8"/>
  <c r="F8" i="8"/>
  <c r="F9" i="8" s="1"/>
  <c r="F7" i="8"/>
  <c r="H14" i="8"/>
  <c r="D25" i="7"/>
  <c r="F7" i="7"/>
  <c r="D14" i="7"/>
  <c r="K14" i="7"/>
  <c r="D15" i="7"/>
  <c r="D16" i="7"/>
  <c r="D17" i="7"/>
  <c r="D18" i="7"/>
  <c r="D19" i="7"/>
  <c r="D20" i="7"/>
  <c r="D21" i="7"/>
  <c r="D22" i="7"/>
  <c r="D23" i="7"/>
  <c r="D24" i="7"/>
  <c r="F8" i="7"/>
  <c r="F9" i="7"/>
  <c r="D15" i="6"/>
  <c r="D16" i="6"/>
  <c r="D17" i="6"/>
  <c r="D18" i="6"/>
  <c r="D19" i="6"/>
  <c r="D20" i="6"/>
  <c r="D21" i="6"/>
  <c r="D22" i="6"/>
  <c r="D23" i="6"/>
  <c r="D24" i="6"/>
  <c r="D25" i="6"/>
  <c r="D14" i="6"/>
  <c r="F8" i="6"/>
  <c r="F7" i="6"/>
  <c r="F9" i="6" s="1"/>
  <c r="J1" i="5"/>
  <c r="D15" i="5"/>
  <c r="D16" i="5"/>
  <c r="D17" i="5"/>
  <c r="D18" i="5"/>
  <c r="D19" i="5"/>
  <c r="D20" i="5"/>
  <c r="D21" i="5"/>
  <c r="D22" i="5"/>
  <c r="D23" i="5"/>
  <c r="D24" i="5"/>
  <c r="D25" i="5"/>
  <c r="D14" i="5"/>
  <c r="E14" i="5"/>
  <c r="F9" i="5"/>
  <c r="F8" i="5"/>
  <c r="F7" i="5"/>
  <c r="K22" i="5"/>
  <c r="J1" i="16"/>
  <c r="C11" i="16"/>
  <c r="O26" i="16"/>
  <c r="N26" i="16"/>
  <c r="M26" i="16"/>
  <c r="L26" i="16"/>
  <c r="K26" i="16"/>
  <c r="J26" i="16"/>
  <c r="I26" i="16"/>
  <c r="H26" i="16"/>
  <c r="G26" i="16"/>
  <c r="F26" i="16"/>
  <c r="E26" i="16"/>
  <c r="O25" i="16"/>
  <c r="N25" i="16"/>
  <c r="M25" i="16"/>
  <c r="L25" i="16"/>
  <c r="K25" i="16"/>
  <c r="J25" i="16"/>
  <c r="I25" i="16"/>
  <c r="H25" i="16"/>
  <c r="G25" i="16"/>
  <c r="F25" i="16"/>
  <c r="E25" i="16"/>
  <c r="O24" i="16"/>
  <c r="N24" i="16"/>
  <c r="M24" i="16"/>
  <c r="L24" i="16"/>
  <c r="K24" i="16"/>
  <c r="J24" i="16"/>
  <c r="I24" i="16"/>
  <c r="H24" i="16"/>
  <c r="G24" i="16"/>
  <c r="F24" i="16"/>
  <c r="E24" i="16"/>
  <c r="O23" i="16"/>
  <c r="N23" i="16"/>
  <c r="M23" i="16"/>
  <c r="L23" i="16"/>
  <c r="K23" i="16"/>
  <c r="J23" i="16"/>
  <c r="I23" i="16"/>
  <c r="H23" i="16"/>
  <c r="G23" i="16"/>
  <c r="F23" i="16"/>
  <c r="E23" i="16"/>
  <c r="O22" i="16"/>
  <c r="N22" i="16"/>
  <c r="M22" i="16"/>
  <c r="L22" i="16"/>
  <c r="K22" i="16"/>
  <c r="J22" i="16"/>
  <c r="I22" i="16"/>
  <c r="H22" i="16"/>
  <c r="G22" i="16"/>
  <c r="F22" i="16"/>
  <c r="E22" i="16"/>
  <c r="O21" i="16"/>
  <c r="N21" i="16"/>
  <c r="M21" i="16"/>
  <c r="L21" i="16"/>
  <c r="K21" i="16"/>
  <c r="J21" i="16"/>
  <c r="I21" i="16"/>
  <c r="H21" i="16"/>
  <c r="G21" i="16"/>
  <c r="F21" i="16"/>
  <c r="E21" i="16"/>
  <c r="O20" i="16"/>
  <c r="N20" i="16"/>
  <c r="M20" i="16"/>
  <c r="L20" i="16"/>
  <c r="K20" i="16"/>
  <c r="J20" i="16"/>
  <c r="I20" i="16"/>
  <c r="H20" i="16"/>
  <c r="G20" i="16"/>
  <c r="F20" i="16"/>
  <c r="E20" i="16"/>
  <c r="O19" i="16"/>
  <c r="N19" i="16"/>
  <c r="M19" i="16"/>
  <c r="L19" i="16"/>
  <c r="K19" i="16"/>
  <c r="J19" i="16"/>
  <c r="I19" i="16"/>
  <c r="H19" i="16"/>
  <c r="G19" i="16"/>
  <c r="F19" i="16"/>
  <c r="E19" i="16"/>
  <c r="O18" i="16"/>
  <c r="N18" i="16"/>
  <c r="M18" i="16"/>
  <c r="L18" i="16"/>
  <c r="K18" i="16"/>
  <c r="J18" i="16"/>
  <c r="I18" i="16"/>
  <c r="H18" i="16"/>
  <c r="G18" i="16"/>
  <c r="F18" i="16"/>
  <c r="E18" i="16"/>
  <c r="O17" i="16"/>
  <c r="N17" i="16"/>
  <c r="M17" i="16"/>
  <c r="L17" i="16"/>
  <c r="K17" i="16"/>
  <c r="J17" i="16"/>
  <c r="I17" i="16"/>
  <c r="H17" i="16"/>
  <c r="G17" i="16"/>
  <c r="F17" i="16"/>
  <c r="E17" i="16"/>
  <c r="O16" i="16"/>
  <c r="N16" i="16"/>
  <c r="M16" i="16"/>
  <c r="L16" i="16"/>
  <c r="K16" i="16"/>
  <c r="J16" i="16"/>
  <c r="I16" i="16"/>
  <c r="H16" i="16"/>
  <c r="G16" i="16"/>
  <c r="F16" i="16"/>
  <c r="E16" i="16"/>
  <c r="O15" i="16"/>
  <c r="N15" i="16"/>
  <c r="M15" i="16"/>
  <c r="L15" i="16"/>
  <c r="K15" i="16"/>
  <c r="J15" i="16"/>
  <c r="I15" i="16"/>
  <c r="H15" i="16"/>
  <c r="G15" i="16"/>
  <c r="F15" i="16"/>
  <c r="E15" i="16"/>
  <c r="H3" i="16"/>
  <c r="E2" i="16"/>
  <c r="E3" i="16" s="1"/>
  <c r="O26" i="15"/>
  <c r="N26" i="15"/>
  <c r="M26" i="15"/>
  <c r="L26" i="15"/>
  <c r="K26" i="15"/>
  <c r="J26" i="15"/>
  <c r="I26" i="15"/>
  <c r="H26" i="15"/>
  <c r="G26" i="15"/>
  <c r="F26" i="15"/>
  <c r="E26" i="15"/>
  <c r="O25" i="15"/>
  <c r="N25" i="15"/>
  <c r="M25" i="15"/>
  <c r="L25" i="15"/>
  <c r="K25" i="15"/>
  <c r="J25" i="15"/>
  <c r="I25" i="15"/>
  <c r="H25" i="15"/>
  <c r="G25" i="15"/>
  <c r="F25" i="15"/>
  <c r="E25" i="15"/>
  <c r="O24" i="15"/>
  <c r="N24" i="15"/>
  <c r="M24" i="15"/>
  <c r="L24" i="15"/>
  <c r="K24" i="15"/>
  <c r="J24" i="15"/>
  <c r="I24" i="15"/>
  <c r="H24" i="15"/>
  <c r="G24" i="15"/>
  <c r="F24" i="15"/>
  <c r="E24" i="15"/>
  <c r="O23" i="15"/>
  <c r="N23" i="15"/>
  <c r="M23" i="15"/>
  <c r="L23" i="15"/>
  <c r="K23" i="15"/>
  <c r="J23" i="15"/>
  <c r="I23" i="15"/>
  <c r="H23" i="15"/>
  <c r="G23" i="15"/>
  <c r="F23" i="15"/>
  <c r="E23" i="15"/>
  <c r="O22" i="15"/>
  <c r="N22" i="15"/>
  <c r="M22" i="15"/>
  <c r="L22" i="15"/>
  <c r="K22" i="15"/>
  <c r="J22" i="15"/>
  <c r="I22" i="15"/>
  <c r="H22" i="15"/>
  <c r="G22" i="15"/>
  <c r="F22" i="15"/>
  <c r="E22" i="15"/>
  <c r="O21" i="15"/>
  <c r="N21" i="15"/>
  <c r="M21" i="15"/>
  <c r="L21" i="15"/>
  <c r="K21" i="15"/>
  <c r="J21" i="15"/>
  <c r="I21" i="15"/>
  <c r="H21" i="15"/>
  <c r="G21" i="15"/>
  <c r="F21" i="15"/>
  <c r="E21" i="15"/>
  <c r="O20" i="15"/>
  <c r="N20" i="15"/>
  <c r="M20" i="15"/>
  <c r="L20" i="15"/>
  <c r="K20" i="15"/>
  <c r="J20" i="15"/>
  <c r="I20" i="15"/>
  <c r="H20" i="15"/>
  <c r="G20" i="15"/>
  <c r="F20" i="15"/>
  <c r="E20" i="15"/>
  <c r="O19" i="15"/>
  <c r="N19" i="15"/>
  <c r="M19" i="15"/>
  <c r="L19" i="15"/>
  <c r="K19" i="15"/>
  <c r="J19" i="15"/>
  <c r="I19" i="15"/>
  <c r="H19" i="15"/>
  <c r="G19" i="15"/>
  <c r="F19" i="15"/>
  <c r="E19" i="15"/>
  <c r="O18" i="15"/>
  <c r="N18" i="15"/>
  <c r="M18" i="15"/>
  <c r="L18" i="15"/>
  <c r="K18" i="15"/>
  <c r="J18" i="15"/>
  <c r="I18" i="15"/>
  <c r="H18" i="15"/>
  <c r="G18" i="15"/>
  <c r="F18" i="15"/>
  <c r="E18" i="15"/>
  <c r="O17" i="15"/>
  <c r="N17" i="15"/>
  <c r="M17" i="15"/>
  <c r="L17" i="15"/>
  <c r="K17" i="15"/>
  <c r="J17" i="15"/>
  <c r="I17" i="15"/>
  <c r="H17" i="15"/>
  <c r="G17" i="15"/>
  <c r="F17" i="15"/>
  <c r="E17" i="15"/>
  <c r="O16" i="15"/>
  <c r="N16" i="15"/>
  <c r="M16" i="15"/>
  <c r="L16" i="15"/>
  <c r="K16" i="15"/>
  <c r="J16" i="15"/>
  <c r="I16" i="15"/>
  <c r="H16" i="15"/>
  <c r="G16" i="15"/>
  <c r="F16" i="15"/>
  <c r="E16" i="15"/>
  <c r="O15" i="15"/>
  <c r="N15" i="15"/>
  <c r="M15" i="15"/>
  <c r="L15" i="15"/>
  <c r="K15" i="15"/>
  <c r="J15" i="15"/>
  <c r="I15" i="15"/>
  <c r="H15" i="15"/>
  <c r="G15" i="15"/>
  <c r="F15" i="15"/>
  <c r="H3" i="15"/>
  <c r="E2" i="15"/>
  <c r="E3" i="15" s="1"/>
  <c r="J1" i="15"/>
  <c r="J1" i="14"/>
  <c r="O26" i="14"/>
  <c r="N26" i="14"/>
  <c r="M26" i="14"/>
  <c r="L26" i="14"/>
  <c r="K26" i="14"/>
  <c r="J26" i="14"/>
  <c r="I26" i="14"/>
  <c r="H26" i="14"/>
  <c r="G26" i="14"/>
  <c r="F26" i="14"/>
  <c r="E26" i="14"/>
  <c r="O25" i="14"/>
  <c r="N25" i="14"/>
  <c r="M25" i="14"/>
  <c r="L25" i="14"/>
  <c r="K25" i="14"/>
  <c r="J25" i="14"/>
  <c r="I25" i="14"/>
  <c r="H25" i="14"/>
  <c r="G25" i="14"/>
  <c r="F25" i="14"/>
  <c r="E25" i="14"/>
  <c r="O24" i="14"/>
  <c r="N24" i="14"/>
  <c r="M24" i="14"/>
  <c r="L24" i="14"/>
  <c r="K24" i="14"/>
  <c r="J24" i="14"/>
  <c r="I24" i="14"/>
  <c r="H24" i="14"/>
  <c r="G24" i="14"/>
  <c r="F24" i="14"/>
  <c r="E24" i="14"/>
  <c r="O23" i="14"/>
  <c r="N23" i="14"/>
  <c r="M23" i="14"/>
  <c r="L23" i="14"/>
  <c r="K23" i="14"/>
  <c r="J23" i="14"/>
  <c r="I23" i="14"/>
  <c r="H23" i="14"/>
  <c r="G23" i="14"/>
  <c r="F23" i="14"/>
  <c r="E23" i="14"/>
  <c r="O22" i="14"/>
  <c r="N22" i="14"/>
  <c r="M22" i="14"/>
  <c r="L22" i="14"/>
  <c r="K22" i="14"/>
  <c r="J22" i="14"/>
  <c r="I22" i="14"/>
  <c r="H22" i="14"/>
  <c r="G22" i="14"/>
  <c r="F22" i="14"/>
  <c r="E22" i="14"/>
  <c r="O21" i="14"/>
  <c r="N21" i="14"/>
  <c r="M21" i="14"/>
  <c r="L21" i="14"/>
  <c r="K21" i="14"/>
  <c r="J21" i="14"/>
  <c r="I21" i="14"/>
  <c r="H21" i="14"/>
  <c r="G21" i="14"/>
  <c r="F21" i="14"/>
  <c r="E21" i="14"/>
  <c r="O20" i="14"/>
  <c r="N20" i="14"/>
  <c r="M20" i="14"/>
  <c r="L20" i="14"/>
  <c r="K20" i="14"/>
  <c r="J20" i="14"/>
  <c r="I20" i="14"/>
  <c r="H20" i="14"/>
  <c r="G20" i="14"/>
  <c r="F20" i="14"/>
  <c r="E20" i="14"/>
  <c r="O19" i="14"/>
  <c r="N19" i="14"/>
  <c r="M19" i="14"/>
  <c r="L19" i="14"/>
  <c r="K19" i="14"/>
  <c r="J19" i="14"/>
  <c r="I19" i="14"/>
  <c r="H19" i="14"/>
  <c r="G19" i="14"/>
  <c r="F19" i="14"/>
  <c r="E19" i="14"/>
  <c r="O18" i="14"/>
  <c r="N18" i="14"/>
  <c r="M18" i="14"/>
  <c r="L18" i="14"/>
  <c r="K18" i="14"/>
  <c r="J18" i="14"/>
  <c r="I18" i="14"/>
  <c r="H18" i="14"/>
  <c r="G18" i="14"/>
  <c r="F18" i="14"/>
  <c r="E18" i="14"/>
  <c r="O17" i="14"/>
  <c r="N17" i="14"/>
  <c r="M17" i="14"/>
  <c r="L17" i="14"/>
  <c r="K17" i="14"/>
  <c r="J17" i="14"/>
  <c r="I17" i="14"/>
  <c r="H17" i="14"/>
  <c r="G17" i="14"/>
  <c r="F17" i="14"/>
  <c r="E17" i="14"/>
  <c r="O16" i="14"/>
  <c r="N16" i="14"/>
  <c r="M16" i="14"/>
  <c r="L16" i="14"/>
  <c r="K16" i="14"/>
  <c r="J16" i="14"/>
  <c r="I16" i="14"/>
  <c r="H16" i="14"/>
  <c r="G16" i="14"/>
  <c r="F16" i="14"/>
  <c r="E16" i="14"/>
  <c r="O15" i="14"/>
  <c r="N15" i="14"/>
  <c r="M15" i="14"/>
  <c r="L15" i="14"/>
  <c r="K15" i="14"/>
  <c r="J15" i="14"/>
  <c r="I15" i="14"/>
  <c r="H15" i="14"/>
  <c r="G15" i="14"/>
  <c r="F15" i="14"/>
  <c r="H3" i="14"/>
  <c r="E2" i="14"/>
  <c r="E3" i="14" s="1"/>
  <c r="F16" i="13"/>
  <c r="F17" i="13"/>
  <c r="F18" i="13"/>
  <c r="F19" i="13"/>
  <c r="F20" i="13"/>
  <c r="F21" i="13"/>
  <c r="F22" i="13"/>
  <c r="F23" i="13"/>
  <c r="F24" i="13"/>
  <c r="F25" i="13"/>
  <c r="F26" i="13"/>
  <c r="F15" i="13"/>
  <c r="J1" i="13"/>
  <c r="O26" i="13"/>
  <c r="N26" i="13"/>
  <c r="M26" i="13"/>
  <c r="L26" i="13"/>
  <c r="K26" i="13"/>
  <c r="J26" i="13"/>
  <c r="I26" i="13"/>
  <c r="H26" i="13"/>
  <c r="G26" i="13"/>
  <c r="E26" i="13"/>
  <c r="O25" i="13"/>
  <c r="N25" i="13"/>
  <c r="M25" i="13"/>
  <c r="L25" i="13"/>
  <c r="K25" i="13"/>
  <c r="J25" i="13"/>
  <c r="I25" i="13"/>
  <c r="H25" i="13"/>
  <c r="G25" i="13"/>
  <c r="E25" i="13"/>
  <c r="O24" i="13"/>
  <c r="N24" i="13"/>
  <c r="M24" i="13"/>
  <c r="L24" i="13"/>
  <c r="K24" i="13"/>
  <c r="J24" i="13"/>
  <c r="I24" i="13"/>
  <c r="H24" i="13"/>
  <c r="G24" i="13"/>
  <c r="E24" i="13"/>
  <c r="O23" i="13"/>
  <c r="N23" i="13"/>
  <c r="M23" i="13"/>
  <c r="L23" i="13"/>
  <c r="K23" i="13"/>
  <c r="J23" i="13"/>
  <c r="I23" i="13"/>
  <c r="H23" i="13"/>
  <c r="G23" i="13"/>
  <c r="E23" i="13"/>
  <c r="O22" i="13"/>
  <c r="N22" i="13"/>
  <c r="M22" i="13"/>
  <c r="L22" i="13"/>
  <c r="K22" i="13"/>
  <c r="J22" i="13"/>
  <c r="I22" i="13"/>
  <c r="H22" i="13"/>
  <c r="G22" i="13"/>
  <c r="E22" i="13"/>
  <c r="O21" i="13"/>
  <c r="N21" i="13"/>
  <c r="M21" i="13"/>
  <c r="L21" i="13"/>
  <c r="K21" i="13"/>
  <c r="J21" i="13"/>
  <c r="I21" i="13"/>
  <c r="H21" i="13"/>
  <c r="G21" i="13"/>
  <c r="E21" i="13"/>
  <c r="O20" i="13"/>
  <c r="N20" i="13"/>
  <c r="M20" i="13"/>
  <c r="L20" i="13"/>
  <c r="K20" i="13"/>
  <c r="J20" i="13"/>
  <c r="I20" i="13"/>
  <c r="H20" i="13"/>
  <c r="G20" i="13"/>
  <c r="E20" i="13"/>
  <c r="O19" i="13"/>
  <c r="N19" i="13"/>
  <c r="M19" i="13"/>
  <c r="L19" i="13"/>
  <c r="K19" i="13"/>
  <c r="J19" i="13"/>
  <c r="I19" i="13"/>
  <c r="H19" i="13"/>
  <c r="G19" i="13"/>
  <c r="E19" i="13"/>
  <c r="O18" i="13"/>
  <c r="N18" i="13"/>
  <c r="M18" i="13"/>
  <c r="L18" i="13"/>
  <c r="K18" i="13"/>
  <c r="J18" i="13"/>
  <c r="I18" i="13"/>
  <c r="H18" i="13"/>
  <c r="G18" i="13"/>
  <c r="E18" i="13"/>
  <c r="O17" i="13"/>
  <c r="N17" i="13"/>
  <c r="M17" i="13"/>
  <c r="L17" i="13"/>
  <c r="K17" i="13"/>
  <c r="J17" i="13"/>
  <c r="I17" i="13"/>
  <c r="H17" i="13"/>
  <c r="G17" i="13"/>
  <c r="E17" i="13"/>
  <c r="O16" i="13"/>
  <c r="N16" i="13"/>
  <c r="M16" i="13"/>
  <c r="L16" i="13"/>
  <c r="K16" i="13"/>
  <c r="J16" i="13"/>
  <c r="I16" i="13"/>
  <c r="H16" i="13"/>
  <c r="G16" i="13"/>
  <c r="E16" i="13"/>
  <c r="O15" i="13"/>
  <c r="N15" i="13"/>
  <c r="M15" i="13"/>
  <c r="L15" i="13"/>
  <c r="K15" i="13"/>
  <c r="J15" i="13"/>
  <c r="I15" i="13"/>
  <c r="H15" i="13"/>
  <c r="G15" i="13"/>
  <c r="E15" i="13"/>
  <c r="H3" i="13"/>
  <c r="E2" i="13"/>
  <c r="E3" i="13" s="1"/>
  <c r="O26" i="12"/>
  <c r="N26" i="12"/>
  <c r="M26" i="12"/>
  <c r="L26" i="12"/>
  <c r="K26" i="12"/>
  <c r="J26" i="12"/>
  <c r="I26" i="12"/>
  <c r="H26" i="12"/>
  <c r="G26" i="12"/>
  <c r="F26" i="12"/>
  <c r="E26" i="12"/>
  <c r="O25" i="12"/>
  <c r="N25" i="12"/>
  <c r="M25" i="12"/>
  <c r="L25" i="12"/>
  <c r="K25" i="12"/>
  <c r="J25" i="12"/>
  <c r="I25" i="12"/>
  <c r="H25" i="12"/>
  <c r="G25" i="12"/>
  <c r="F25" i="12"/>
  <c r="E25" i="12"/>
  <c r="O24" i="12"/>
  <c r="N24" i="12"/>
  <c r="M24" i="12"/>
  <c r="L24" i="12"/>
  <c r="K24" i="12"/>
  <c r="J24" i="12"/>
  <c r="I24" i="12"/>
  <c r="H24" i="12"/>
  <c r="G24" i="12"/>
  <c r="F24" i="12"/>
  <c r="E24" i="12"/>
  <c r="O23" i="12"/>
  <c r="N23" i="12"/>
  <c r="M23" i="12"/>
  <c r="L23" i="12"/>
  <c r="K23" i="12"/>
  <c r="J23" i="12"/>
  <c r="I23" i="12"/>
  <c r="H23" i="12"/>
  <c r="G23" i="12"/>
  <c r="F23" i="12"/>
  <c r="E23" i="12"/>
  <c r="O22" i="12"/>
  <c r="N22" i="12"/>
  <c r="M22" i="12"/>
  <c r="L22" i="12"/>
  <c r="K22" i="12"/>
  <c r="J22" i="12"/>
  <c r="I22" i="12"/>
  <c r="H22" i="12"/>
  <c r="G22" i="12"/>
  <c r="F22" i="12"/>
  <c r="E22" i="12"/>
  <c r="O21" i="12"/>
  <c r="N21" i="12"/>
  <c r="M21" i="12"/>
  <c r="L21" i="12"/>
  <c r="K21" i="12"/>
  <c r="J21" i="12"/>
  <c r="I21" i="12"/>
  <c r="H21" i="12"/>
  <c r="G21" i="12"/>
  <c r="F21" i="12"/>
  <c r="E21" i="12"/>
  <c r="O20" i="12"/>
  <c r="N20" i="12"/>
  <c r="M20" i="12"/>
  <c r="L20" i="12"/>
  <c r="K20" i="12"/>
  <c r="J20" i="12"/>
  <c r="I20" i="12"/>
  <c r="H20" i="12"/>
  <c r="G20" i="12"/>
  <c r="F20" i="12"/>
  <c r="E20" i="12"/>
  <c r="O19" i="12"/>
  <c r="N19" i="12"/>
  <c r="M19" i="12"/>
  <c r="L19" i="12"/>
  <c r="K19" i="12"/>
  <c r="J19" i="12"/>
  <c r="I19" i="12"/>
  <c r="H19" i="12"/>
  <c r="G19" i="12"/>
  <c r="F19" i="12"/>
  <c r="E19" i="12"/>
  <c r="O18" i="12"/>
  <c r="N18" i="12"/>
  <c r="M18" i="12"/>
  <c r="L18" i="12"/>
  <c r="K18" i="12"/>
  <c r="J18" i="12"/>
  <c r="I18" i="12"/>
  <c r="H18" i="12"/>
  <c r="G18" i="12"/>
  <c r="F18" i="12"/>
  <c r="E18" i="12"/>
  <c r="O17" i="12"/>
  <c r="N17" i="12"/>
  <c r="M17" i="12"/>
  <c r="L17" i="12"/>
  <c r="K17" i="12"/>
  <c r="J17" i="12"/>
  <c r="I17" i="12"/>
  <c r="H17" i="12"/>
  <c r="G17" i="12"/>
  <c r="F17" i="12"/>
  <c r="E17" i="12"/>
  <c r="O16" i="12"/>
  <c r="N16" i="12"/>
  <c r="M16" i="12"/>
  <c r="L16" i="12"/>
  <c r="K16" i="12"/>
  <c r="J16" i="12"/>
  <c r="I16" i="12"/>
  <c r="H16" i="12"/>
  <c r="G16" i="12"/>
  <c r="F16" i="12"/>
  <c r="E16" i="12"/>
  <c r="O15" i="12"/>
  <c r="N15" i="12"/>
  <c r="M15" i="12"/>
  <c r="L15" i="12"/>
  <c r="K15" i="12"/>
  <c r="J15" i="12"/>
  <c r="I15" i="12"/>
  <c r="H15" i="12"/>
  <c r="G15" i="12"/>
  <c r="F15" i="12"/>
  <c r="E15" i="12"/>
  <c r="H3" i="12"/>
  <c r="E2" i="12"/>
  <c r="E3" i="12" s="1"/>
  <c r="J1" i="12"/>
  <c r="O26" i="11"/>
  <c r="M26" i="11"/>
  <c r="L26" i="11"/>
  <c r="K26" i="11"/>
  <c r="J26" i="11"/>
  <c r="I26" i="11"/>
  <c r="H26" i="11"/>
  <c r="G26" i="11"/>
  <c r="F26" i="11"/>
  <c r="E26" i="11"/>
  <c r="O25" i="11"/>
  <c r="M25" i="11"/>
  <c r="L25" i="11"/>
  <c r="K25" i="11"/>
  <c r="J25" i="11"/>
  <c r="I25" i="11"/>
  <c r="H25" i="11"/>
  <c r="G25" i="11"/>
  <c r="F25" i="11"/>
  <c r="E25" i="11"/>
  <c r="O24" i="11"/>
  <c r="M24" i="11"/>
  <c r="L24" i="11"/>
  <c r="K24" i="11"/>
  <c r="J24" i="11"/>
  <c r="I24" i="11"/>
  <c r="H24" i="11"/>
  <c r="G24" i="11"/>
  <c r="F24" i="11"/>
  <c r="E24" i="11"/>
  <c r="O23" i="11"/>
  <c r="M23" i="11"/>
  <c r="L23" i="11"/>
  <c r="K23" i="11"/>
  <c r="J23" i="11"/>
  <c r="I23" i="11"/>
  <c r="H23" i="11"/>
  <c r="G23" i="11"/>
  <c r="F23" i="11"/>
  <c r="E23" i="11"/>
  <c r="O22" i="11"/>
  <c r="M22" i="11"/>
  <c r="L22" i="11"/>
  <c r="K22" i="11"/>
  <c r="J22" i="11"/>
  <c r="I22" i="11"/>
  <c r="H22" i="11"/>
  <c r="G22" i="11"/>
  <c r="F22" i="11"/>
  <c r="E22" i="11"/>
  <c r="O21" i="11"/>
  <c r="M21" i="11"/>
  <c r="L21" i="11"/>
  <c r="K21" i="11"/>
  <c r="J21" i="11"/>
  <c r="I21" i="11"/>
  <c r="H21" i="11"/>
  <c r="G21" i="11"/>
  <c r="F21" i="11"/>
  <c r="E21" i="11"/>
  <c r="O20" i="11"/>
  <c r="M20" i="11"/>
  <c r="L20" i="11"/>
  <c r="K20" i="11"/>
  <c r="J20" i="11"/>
  <c r="I20" i="11"/>
  <c r="H20" i="11"/>
  <c r="G20" i="11"/>
  <c r="F20" i="11"/>
  <c r="E20" i="11"/>
  <c r="O19" i="11"/>
  <c r="M19" i="11"/>
  <c r="L19" i="11"/>
  <c r="K19" i="11"/>
  <c r="J19" i="11"/>
  <c r="I19" i="11"/>
  <c r="H19" i="11"/>
  <c r="G19" i="11"/>
  <c r="F19" i="11"/>
  <c r="E19" i="11"/>
  <c r="O18" i="11"/>
  <c r="M18" i="11"/>
  <c r="L18" i="11"/>
  <c r="K18" i="11"/>
  <c r="J18" i="11"/>
  <c r="I18" i="11"/>
  <c r="H18" i="11"/>
  <c r="G18" i="11"/>
  <c r="F18" i="11"/>
  <c r="E18" i="11"/>
  <c r="O17" i="11"/>
  <c r="M17" i="11"/>
  <c r="L17" i="11"/>
  <c r="K17" i="11"/>
  <c r="J17" i="11"/>
  <c r="I17" i="11"/>
  <c r="H17" i="11"/>
  <c r="G17" i="11"/>
  <c r="F17" i="11"/>
  <c r="E17" i="11"/>
  <c r="O16" i="11"/>
  <c r="M16" i="11"/>
  <c r="L16" i="11"/>
  <c r="K16" i="11"/>
  <c r="J16" i="11"/>
  <c r="I16" i="11"/>
  <c r="H16" i="11"/>
  <c r="G16" i="11"/>
  <c r="F16" i="11"/>
  <c r="E16" i="11"/>
  <c r="O15" i="11"/>
  <c r="M15" i="11"/>
  <c r="L15" i="11"/>
  <c r="K15" i="11"/>
  <c r="J15" i="11"/>
  <c r="I15" i="11"/>
  <c r="H15" i="11"/>
  <c r="G15" i="11"/>
  <c r="F15" i="11"/>
  <c r="E15" i="11"/>
  <c r="N26" i="11"/>
  <c r="H3" i="11"/>
  <c r="E2" i="11"/>
  <c r="E3" i="11" s="1"/>
  <c r="J1" i="11"/>
  <c r="C12" i="10"/>
  <c r="N26" i="10" s="1"/>
  <c r="O26" i="10"/>
  <c r="M26" i="10"/>
  <c r="L26" i="10"/>
  <c r="K26" i="10"/>
  <c r="J26" i="10"/>
  <c r="I26" i="10"/>
  <c r="H26" i="10"/>
  <c r="G26" i="10"/>
  <c r="F26" i="10"/>
  <c r="E26" i="10"/>
  <c r="O25" i="10"/>
  <c r="N25" i="10"/>
  <c r="M25" i="10"/>
  <c r="L25" i="10"/>
  <c r="K25" i="10"/>
  <c r="J25" i="10"/>
  <c r="I25" i="10"/>
  <c r="H25" i="10"/>
  <c r="G25" i="10"/>
  <c r="F25" i="10"/>
  <c r="E25" i="10"/>
  <c r="O24" i="10"/>
  <c r="N24" i="10"/>
  <c r="M24" i="10"/>
  <c r="L24" i="10"/>
  <c r="K24" i="10"/>
  <c r="J24" i="10"/>
  <c r="I24" i="10"/>
  <c r="H24" i="10"/>
  <c r="G24" i="10"/>
  <c r="F24" i="10"/>
  <c r="E24" i="10"/>
  <c r="O23" i="10"/>
  <c r="N23" i="10"/>
  <c r="M23" i="10"/>
  <c r="L23" i="10"/>
  <c r="K23" i="10"/>
  <c r="J23" i="10"/>
  <c r="I23" i="10"/>
  <c r="H23" i="10"/>
  <c r="G23" i="10"/>
  <c r="F23" i="10"/>
  <c r="E23" i="10"/>
  <c r="O22" i="10"/>
  <c r="N22" i="10"/>
  <c r="M22" i="10"/>
  <c r="L22" i="10"/>
  <c r="K22" i="10"/>
  <c r="J22" i="10"/>
  <c r="I22" i="10"/>
  <c r="H22" i="10"/>
  <c r="G22" i="10"/>
  <c r="F22" i="10"/>
  <c r="E22" i="10"/>
  <c r="O21" i="10"/>
  <c r="N21" i="10"/>
  <c r="M21" i="10"/>
  <c r="L21" i="10"/>
  <c r="K21" i="10"/>
  <c r="J21" i="10"/>
  <c r="I21" i="10"/>
  <c r="H21" i="10"/>
  <c r="G21" i="10"/>
  <c r="F21" i="10"/>
  <c r="E21" i="10"/>
  <c r="O20" i="10"/>
  <c r="N20" i="10"/>
  <c r="M20" i="10"/>
  <c r="L20" i="10"/>
  <c r="K20" i="10"/>
  <c r="J20" i="10"/>
  <c r="I20" i="10"/>
  <c r="H20" i="10"/>
  <c r="G20" i="10"/>
  <c r="F20" i="10"/>
  <c r="E20" i="10"/>
  <c r="O19" i="10"/>
  <c r="N19" i="10"/>
  <c r="M19" i="10"/>
  <c r="L19" i="10"/>
  <c r="K19" i="10"/>
  <c r="J19" i="10"/>
  <c r="I19" i="10"/>
  <c r="H19" i="10"/>
  <c r="G19" i="10"/>
  <c r="F19" i="10"/>
  <c r="E19" i="10"/>
  <c r="O18" i="10"/>
  <c r="N18" i="10"/>
  <c r="M18" i="10"/>
  <c r="L18" i="10"/>
  <c r="K18" i="10"/>
  <c r="J18" i="10"/>
  <c r="I18" i="10"/>
  <c r="H18" i="10"/>
  <c r="G18" i="10"/>
  <c r="F18" i="10"/>
  <c r="E18" i="10"/>
  <c r="O17" i="10"/>
  <c r="N17" i="10"/>
  <c r="M17" i="10"/>
  <c r="L17" i="10"/>
  <c r="K17" i="10"/>
  <c r="J17" i="10"/>
  <c r="I17" i="10"/>
  <c r="H17" i="10"/>
  <c r="G17" i="10"/>
  <c r="F17" i="10"/>
  <c r="E17" i="10"/>
  <c r="O16" i="10"/>
  <c r="N16" i="10"/>
  <c r="M16" i="10"/>
  <c r="L16" i="10"/>
  <c r="K16" i="10"/>
  <c r="J16" i="10"/>
  <c r="I16" i="10"/>
  <c r="H16" i="10"/>
  <c r="G16" i="10"/>
  <c r="F16" i="10"/>
  <c r="E16" i="10"/>
  <c r="O15" i="10"/>
  <c r="N15" i="10"/>
  <c r="M15" i="10"/>
  <c r="L15" i="10"/>
  <c r="K15" i="10"/>
  <c r="J15" i="10"/>
  <c r="I15" i="10"/>
  <c r="H15" i="10"/>
  <c r="G15" i="10"/>
  <c r="F15" i="10"/>
  <c r="H3" i="10"/>
  <c r="E2" i="10"/>
  <c r="E3" i="10" s="1"/>
  <c r="O26" i="9"/>
  <c r="O16" i="9"/>
  <c r="O17" i="9"/>
  <c r="O18" i="9"/>
  <c r="O19" i="9"/>
  <c r="O20" i="9"/>
  <c r="O21" i="9"/>
  <c r="O22" i="9"/>
  <c r="O23" i="9"/>
  <c r="O24" i="9"/>
  <c r="O25" i="9"/>
  <c r="O15" i="9"/>
  <c r="N15" i="9"/>
  <c r="J1" i="9"/>
  <c r="C6" i="9"/>
  <c r="N26" i="9"/>
  <c r="M26" i="9"/>
  <c r="L26" i="9"/>
  <c r="K26" i="9"/>
  <c r="J26" i="9"/>
  <c r="I26" i="9"/>
  <c r="H26" i="9"/>
  <c r="G26" i="9"/>
  <c r="F26" i="9"/>
  <c r="E26" i="9"/>
  <c r="N25" i="9"/>
  <c r="M25" i="9"/>
  <c r="L25" i="9"/>
  <c r="K25" i="9"/>
  <c r="J25" i="9"/>
  <c r="I25" i="9"/>
  <c r="H25" i="9"/>
  <c r="G25" i="9"/>
  <c r="F25" i="9"/>
  <c r="E25" i="9"/>
  <c r="N24" i="9"/>
  <c r="M24" i="9"/>
  <c r="L24" i="9"/>
  <c r="K24" i="9"/>
  <c r="J24" i="9"/>
  <c r="I24" i="9"/>
  <c r="H24" i="9"/>
  <c r="G24" i="9"/>
  <c r="F24" i="9"/>
  <c r="E24" i="9"/>
  <c r="N23" i="9"/>
  <c r="M23" i="9"/>
  <c r="L23" i="9"/>
  <c r="K23" i="9"/>
  <c r="I23" i="9"/>
  <c r="H23" i="9"/>
  <c r="G23" i="9"/>
  <c r="F23" i="9"/>
  <c r="E23" i="9"/>
  <c r="N22" i="9"/>
  <c r="M22" i="9"/>
  <c r="L22" i="9"/>
  <c r="K22" i="9"/>
  <c r="I22" i="9"/>
  <c r="H22" i="9"/>
  <c r="G22" i="9"/>
  <c r="F22" i="9"/>
  <c r="E22" i="9"/>
  <c r="N21" i="9"/>
  <c r="M21" i="9"/>
  <c r="L21" i="9"/>
  <c r="K21" i="9"/>
  <c r="J21" i="9"/>
  <c r="I21" i="9"/>
  <c r="H21" i="9"/>
  <c r="G21" i="9"/>
  <c r="F21" i="9"/>
  <c r="E21" i="9"/>
  <c r="N20" i="9"/>
  <c r="M20" i="9"/>
  <c r="L20" i="9"/>
  <c r="K20" i="9"/>
  <c r="J20" i="9"/>
  <c r="I20" i="9"/>
  <c r="H20" i="9"/>
  <c r="G20" i="9"/>
  <c r="F20" i="9"/>
  <c r="E20" i="9"/>
  <c r="N19" i="9"/>
  <c r="M19" i="9"/>
  <c r="L19" i="9"/>
  <c r="K19" i="9"/>
  <c r="J19" i="9"/>
  <c r="I19" i="9"/>
  <c r="H19" i="9"/>
  <c r="G19" i="9"/>
  <c r="F19" i="9"/>
  <c r="E19" i="9"/>
  <c r="N18" i="9"/>
  <c r="M18" i="9"/>
  <c r="L18" i="9"/>
  <c r="K18" i="9"/>
  <c r="J18" i="9"/>
  <c r="I18" i="9"/>
  <c r="H18" i="9"/>
  <c r="G18" i="9"/>
  <c r="F18" i="9"/>
  <c r="E18" i="9"/>
  <c r="N17" i="9"/>
  <c r="M17" i="9"/>
  <c r="L17" i="9"/>
  <c r="K17" i="9"/>
  <c r="J17" i="9"/>
  <c r="I17" i="9"/>
  <c r="H17" i="9"/>
  <c r="G17" i="9"/>
  <c r="F17" i="9"/>
  <c r="E17" i="9"/>
  <c r="N16" i="9"/>
  <c r="M16" i="9"/>
  <c r="L16" i="9"/>
  <c r="K16" i="9"/>
  <c r="J16" i="9"/>
  <c r="I16" i="9"/>
  <c r="H16" i="9"/>
  <c r="G16" i="9"/>
  <c r="F16" i="9"/>
  <c r="E16" i="9"/>
  <c r="M15" i="9"/>
  <c r="L15" i="9"/>
  <c r="K15" i="9"/>
  <c r="J15" i="9"/>
  <c r="I15" i="9"/>
  <c r="H15" i="9"/>
  <c r="G15" i="9"/>
  <c r="F15" i="9"/>
  <c r="E15" i="9"/>
  <c r="J22" i="9"/>
  <c r="H3" i="9"/>
  <c r="E2" i="9"/>
  <c r="E3" i="9" s="1"/>
  <c r="C8" i="8"/>
  <c r="N15" i="8"/>
  <c r="N16" i="8"/>
  <c r="N17" i="8"/>
  <c r="N18" i="8"/>
  <c r="N19" i="8"/>
  <c r="N20" i="8"/>
  <c r="N21" i="8"/>
  <c r="N22" i="8"/>
  <c r="N23" i="8"/>
  <c r="N24" i="8"/>
  <c r="N25" i="8"/>
  <c r="N14" i="8"/>
  <c r="J15" i="8"/>
  <c r="J16" i="8"/>
  <c r="J17" i="8"/>
  <c r="J18" i="8"/>
  <c r="J19" i="8"/>
  <c r="J20" i="8"/>
  <c r="J21" i="8"/>
  <c r="J22" i="8"/>
  <c r="J23" i="8"/>
  <c r="J24" i="8"/>
  <c r="J25" i="8"/>
  <c r="J14" i="8"/>
  <c r="M25" i="8"/>
  <c r="L25" i="8"/>
  <c r="K25" i="8"/>
  <c r="I25" i="8"/>
  <c r="H25" i="8"/>
  <c r="G25" i="8"/>
  <c r="F25" i="8"/>
  <c r="E25" i="8"/>
  <c r="M24" i="8"/>
  <c r="L24" i="8"/>
  <c r="K24" i="8"/>
  <c r="I24" i="8"/>
  <c r="H24" i="8"/>
  <c r="G24" i="8"/>
  <c r="F24" i="8"/>
  <c r="E24" i="8"/>
  <c r="M23" i="8"/>
  <c r="L23" i="8"/>
  <c r="K23" i="8"/>
  <c r="I23" i="8"/>
  <c r="H23" i="8"/>
  <c r="G23" i="8"/>
  <c r="F23" i="8"/>
  <c r="E23" i="8"/>
  <c r="M22" i="8"/>
  <c r="L22" i="8"/>
  <c r="K22" i="8"/>
  <c r="I22" i="8"/>
  <c r="H22" i="8"/>
  <c r="G22" i="8"/>
  <c r="F22" i="8"/>
  <c r="E22" i="8"/>
  <c r="M21" i="8"/>
  <c r="L21" i="8"/>
  <c r="K21" i="8"/>
  <c r="I21" i="8"/>
  <c r="H21" i="8"/>
  <c r="G21" i="8"/>
  <c r="F21" i="8"/>
  <c r="E21" i="8"/>
  <c r="M20" i="8"/>
  <c r="L20" i="8"/>
  <c r="K20" i="8"/>
  <c r="I20" i="8"/>
  <c r="H20" i="8"/>
  <c r="G20" i="8"/>
  <c r="F20" i="8"/>
  <c r="E20" i="8"/>
  <c r="M19" i="8"/>
  <c r="L19" i="8"/>
  <c r="K19" i="8"/>
  <c r="I19" i="8"/>
  <c r="H19" i="8"/>
  <c r="G19" i="8"/>
  <c r="F19" i="8"/>
  <c r="E19" i="8"/>
  <c r="M18" i="8"/>
  <c r="L18" i="8"/>
  <c r="K18" i="8"/>
  <c r="I18" i="8"/>
  <c r="H18" i="8"/>
  <c r="G18" i="8"/>
  <c r="F18" i="8"/>
  <c r="E18" i="8"/>
  <c r="M17" i="8"/>
  <c r="L17" i="8"/>
  <c r="K17" i="8"/>
  <c r="I17" i="8"/>
  <c r="H17" i="8"/>
  <c r="G17" i="8"/>
  <c r="F17" i="8"/>
  <c r="E17" i="8"/>
  <c r="M16" i="8"/>
  <c r="L16" i="8"/>
  <c r="K16" i="8"/>
  <c r="I16" i="8"/>
  <c r="H16" i="8"/>
  <c r="G16" i="8"/>
  <c r="F16" i="8"/>
  <c r="E16" i="8"/>
  <c r="M15" i="8"/>
  <c r="L15" i="8"/>
  <c r="K15" i="8"/>
  <c r="I15" i="8"/>
  <c r="H15" i="8"/>
  <c r="G15" i="8"/>
  <c r="F15" i="8"/>
  <c r="E15" i="8"/>
  <c r="M14" i="8"/>
  <c r="L14" i="8"/>
  <c r="K14" i="8"/>
  <c r="I14" i="8"/>
  <c r="G14" i="8"/>
  <c r="F14" i="8"/>
  <c r="E14" i="8"/>
  <c r="H3" i="8"/>
  <c r="E3" i="8"/>
  <c r="E2" i="8"/>
  <c r="J1" i="8"/>
  <c r="J15" i="7"/>
  <c r="J16" i="7"/>
  <c r="J17" i="7"/>
  <c r="J18" i="7"/>
  <c r="J19" i="7"/>
  <c r="J20" i="7"/>
  <c r="J21" i="7"/>
  <c r="J22" i="7"/>
  <c r="J23" i="7"/>
  <c r="J24" i="7"/>
  <c r="J25" i="7"/>
  <c r="J14" i="7"/>
  <c r="J14" i="6"/>
  <c r="M14" i="7"/>
  <c r="I14" i="7"/>
  <c r="H14" i="7"/>
  <c r="E14" i="7"/>
  <c r="J1" i="7"/>
  <c r="H15" i="7"/>
  <c r="H16" i="7"/>
  <c r="H17" i="7"/>
  <c r="H18" i="7"/>
  <c r="H19" i="7"/>
  <c r="H20" i="7"/>
  <c r="H21" i="7"/>
  <c r="H22" i="7"/>
  <c r="H23" i="7"/>
  <c r="H24" i="7"/>
  <c r="H25" i="7"/>
  <c r="L25" i="7"/>
  <c r="K25" i="7"/>
  <c r="G25" i="7"/>
  <c r="F25" i="7"/>
  <c r="E25" i="7"/>
  <c r="M24" i="7"/>
  <c r="L24" i="7"/>
  <c r="K24" i="7"/>
  <c r="G24" i="7"/>
  <c r="F24" i="7"/>
  <c r="E24" i="7"/>
  <c r="M23" i="7"/>
  <c r="L23" i="7"/>
  <c r="K23" i="7"/>
  <c r="G23" i="7"/>
  <c r="F23" i="7"/>
  <c r="E23" i="7"/>
  <c r="M22" i="7"/>
  <c r="L22" i="7"/>
  <c r="K22" i="7"/>
  <c r="I22" i="7"/>
  <c r="G22" i="7"/>
  <c r="F22" i="7"/>
  <c r="E22" i="7"/>
  <c r="L21" i="7"/>
  <c r="K21" i="7"/>
  <c r="I21" i="7"/>
  <c r="G21" i="7"/>
  <c r="F21" i="7"/>
  <c r="E21" i="7"/>
  <c r="L20" i="7"/>
  <c r="K20" i="7"/>
  <c r="I20" i="7"/>
  <c r="G20" i="7"/>
  <c r="F20" i="7"/>
  <c r="E20" i="7"/>
  <c r="L19" i="7"/>
  <c r="K19" i="7"/>
  <c r="G19" i="7"/>
  <c r="F19" i="7"/>
  <c r="E19" i="7"/>
  <c r="M18" i="7"/>
  <c r="L18" i="7"/>
  <c r="K18" i="7"/>
  <c r="G18" i="7"/>
  <c r="F18" i="7"/>
  <c r="E18" i="7"/>
  <c r="M17" i="7"/>
  <c r="L17" i="7"/>
  <c r="K17" i="7"/>
  <c r="G17" i="7"/>
  <c r="F17" i="7"/>
  <c r="E17" i="7"/>
  <c r="M16" i="7"/>
  <c r="L16" i="7"/>
  <c r="K16" i="7"/>
  <c r="I16" i="7"/>
  <c r="G16" i="7"/>
  <c r="F16" i="7"/>
  <c r="E16" i="7"/>
  <c r="M15" i="7"/>
  <c r="L15" i="7"/>
  <c r="K15" i="7"/>
  <c r="I15" i="7"/>
  <c r="G15" i="7"/>
  <c r="F15" i="7"/>
  <c r="E15" i="7"/>
  <c r="L14" i="7"/>
  <c r="G14" i="7"/>
  <c r="F14" i="7"/>
  <c r="M25" i="7"/>
  <c r="I23" i="7"/>
  <c r="H3" i="7"/>
  <c r="E2" i="7"/>
  <c r="E3" i="7" s="1"/>
  <c r="M15" i="6"/>
  <c r="M16" i="6"/>
  <c r="M17" i="6"/>
  <c r="M18" i="6"/>
  <c r="M19" i="6"/>
  <c r="M20" i="6"/>
  <c r="M21" i="6"/>
  <c r="M22" i="6"/>
  <c r="M23" i="6"/>
  <c r="M24" i="6"/>
  <c r="M25" i="6"/>
  <c r="M14" i="6"/>
  <c r="L15" i="6"/>
  <c r="L16" i="6"/>
  <c r="L17" i="6"/>
  <c r="L18" i="6"/>
  <c r="L19" i="6"/>
  <c r="L20" i="6"/>
  <c r="L21" i="6"/>
  <c r="L22" i="6"/>
  <c r="L23" i="6"/>
  <c r="L24" i="6"/>
  <c r="L25" i="6"/>
  <c r="L14" i="6"/>
  <c r="K15" i="6"/>
  <c r="K16" i="6"/>
  <c r="K17" i="6"/>
  <c r="K18" i="6"/>
  <c r="K19" i="6"/>
  <c r="K20" i="6"/>
  <c r="K21" i="6"/>
  <c r="K22" i="6"/>
  <c r="K23" i="6"/>
  <c r="K24" i="6"/>
  <c r="K25" i="6"/>
  <c r="K14" i="6"/>
  <c r="J15" i="6"/>
  <c r="J16" i="6"/>
  <c r="J17" i="6"/>
  <c r="J18" i="6"/>
  <c r="J19" i="6"/>
  <c r="J20" i="6"/>
  <c r="J21" i="6"/>
  <c r="J22" i="6"/>
  <c r="J23" i="6"/>
  <c r="J24" i="6"/>
  <c r="J25" i="6"/>
  <c r="I15" i="6"/>
  <c r="I16" i="6"/>
  <c r="I17" i="6"/>
  <c r="I18" i="6"/>
  <c r="I19" i="6"/>
  <c r="I20" i="6"/>
  <c r="I21" i="6"/>
  <c r="I22" i="6"/>
  <c r="I23" i="6"/>
  <c r="I24" i="6"/>
  <c r="I25" i="6"/>
  <c r="I14" i="6"/>
  <c r="H15" i="6"/>
  <c r="H16" i="6"/>
  <c r="H17" i="6"/>
  <c r="H18" i="6"/>
  <c r="H19" i="6"/>
  <c r="H20" i="6"/>
  <c r="H21" i="6"/>
  <c r="H22" i="6"/>
  <c r="H23" i="6"/>
  <c r="H24" i="6"/>
  <c r="H25" i="6"/>
  <c r="H14" i="6"/>
  <c r="G15" i="6"/>
  <c r="G16" i="6"/>
  <c r="G17" i="6"/>
  <c r="G18" i="6"/>
  <c r="G19" i="6"/>
  <c r="G20" i="6"/>
  <c r="G21" i="6"/>
  <c r="G22" i="6"/>
  <c r="G23" i="6"/>
  <c r="G24" i="6"/>
  <c r="G25" i="6"/>
  <c r="G14" i="6"/>
  <c r="E15" i="6"/>
  <c r="E16" i="6"/>
  <c r="E17" i="6"/>
  <c r="E18" i="6"/>
  <c r="E19" i="6"/>
  <c r="E20" i="6"/>
  <c r="E21" i="6"/>
  <c r="E22" i="6"/>
  <c r="E23" i="6"/>
  <c r="E24" i="6"/>
  <c r="E25" i="6"/>
  <c r="E14" i="6"/>
  <c r="C11" i="6"/>
  <c r="C6" i="6"/>
  <c r="F25" i="6"/>
  <c r="F24" i="6"/>
  <c r="F23" i="6"/>
  <c r="F22" i="6"/>
  <c r="F21" i="6"/>
  <c r="F20" i="6"/>
  <c r="F19" i="6"/>
  <c r="F18" i="6"/>
  <c r="F17" i="6"/>
  <c r="F16" i="6"/>
  <c r="F15" i="6"/>
  <c r="F14" i="6"/>
  <c r="H3" i="6"/>
  <c r="E2" i="6"/>
  <c r="K14" i="5"/>
  <c r="K25" i="5"/>
  <c r="K15" i="5"/>
  <c r="K16" i="5"/>
  <c r="K18" i="5"/>
  <c r="K19" i="5"/>
  <c r="K20" i="5"/>
  <c r="K21" i="5"/>
  <c r="G14" i="5"/>
  <c r="M15" i="5"/>
  <c r="M16" i="5"/>
  <c r="M18" i="5"/>
  <c r="M19" i="5"/>
  <c r="M20" i="5"/>
  <c r="M21" i="5"/>
  <c r="M22" i="5"/>
  <c r="M23" i="5"/>
  <c r="M24" i="5"/>
  <c r="M25" i="5"/>
  <c r="M14" i="5"/>
  <c r="L15" i="5"/>
  <c r="L16" i="5"/>
  <c r="L18" i="5"/>
  <c r="L19" i="5"/>
  <c r="L20" i="5"/>
  <c r="L21" i="5"/>
  <c r="L22" i="5"/>
  <c r="L23" i="5"/>
  <c r="L24" i="5"/>
  <c r="L25" i="5"/>
  <c r="L14" i="5"/>
  <c r="J15" i="5"/>
  <c r="J16" i="5"/>
  <c r="J18" i="5"/>
  <c r="J19" i="5"/>
  <c r="J20" i="5"/>
  <c r="J21" i="5"/>
  <c r="J22" i="5"/>
  <c r="J23" i="5"/>
  <c r="J24" i="5"/>
  <c r="J25" i="5"/>
  <c r="J14" i="5"/>
  <c r="I15" i="5"/>
  <c r="I16" i="5"/>
  <c r="I18" i="5"/>
  <c r="I19" i="5"/>
  <c r="I20" i="5"/>
  <c r="I21" i="5"/>
  <c r="I22" i="5"/>
  <c r="I23" i="5"/>
  <c r="I24" i="5"/>
  <c r="I25" i="5"/>
  <c r="I14" i="5"/>
  <c r="G15" i="5"/>
  <c r="G16" i="5"/>
  <c r="G18" i="5"/>
  <c r="G19" i="5"/>
  <c r="G20" i="5"/>
  <c r="G21" i="5"/>
  <c r="G22" i="5"/>
  <c r="G23" i="5"/>
  <c r="G24" i="5"/>
  <c r="G25" i="5"/>
  <c r="E15" i="5"/>
  <c r="E16" i="5"/>
  <c r="E18" i="5"/>
  <c r="E19" i="5"/>
  <c r="E20" i="5"/>
  <c r="E21" i="5"/>
  <c r="E22" i="5"/>
  <c r="E23" i="5"/>
  <c r="E24" i="5"/>
  <c r="E25" i="5"/>
  <c r="H14" i="5"/>
  <c r="E1" i="5"/>
  <c r="H15" i="5"/>
  <c r="H16" i="5"/>
  <c r="H17" i="5"/>
  <c r="H18" i="5"/>
  <c r="H19" i="5"/>
  <c r="H20" i="5"/>
  <c r="H21" i="5"/>
  <c r="H22" i="5"/>
  <c r="H23" i="5"/>
  <c r="H24" i="5"/>
  <c r="H25" i="5"/>
  <c r="F15" i="5"/>
  <c r="F16" i="5"/>
  <c r="F17" i="5"/>
  <c r="F18" i="5"/>
  <c r="F19" i="5"/>
  <c r="F20" i="5"/>
  <c r="F21" i="5"/>
  <c r="F22" i="5"/>
  <c r="F23" i="5"/>
  <c r="F24" i="5"/>
  <c r="F25" i="5"/>
  <c r="F14" i="5"/>
  <c r="H3" i="5"/>
  <c r="E2" i="5"/>
  <c r="E3" i="5" s="1"/>
  <c r="J12" i="1"/>
  <c r="H2" i="1"/>
  <c r="H3" i="1" s="1"/>
  <c r="E2" i="1"/>
  <c r="E3" i="1" s="1"/>
  <c r="D22" i="1" s="1"/>
  <c r="C9" i="1"/>
  <c r="C4" i="1"/>
  <c r="C6" i="1"/>
  <c r="I12" i="1" s="1"/>
  <c r="B6" i="1"/>
  <c r="F9" i="16" l="1"/>
  <c r="F9" i="13"/>
  <c r="F9" i="9"/>
  <c r="K24" i="5"/>
  <c r="K23" i="5"/>
  <c r="N15" i="11"/>
  <c r="N16" i="11"/>
  <c r="N17" i="11"/>
  <c r="N18" i="11"/>
  <c r="N19" i="11"/>
  <c r="N20" i="11"/>
  <c r="N21" i="11"/>
  <c r="N22" i="11"/>
  <c r="N23" i="11"/>
  <c r="N24" i="11"/>
  <c r="N25" i="11"/>
  <c r="J1" i="10"/>
  <c r="J23" i="9"/>
  <c r="I19" i="7"/>
  <c r="M21" i="7"/>
  <c r="I25" i="7"/>
  <c r="I18" i="7"/>
  <c r="M20" i="7"/>
  <c r="I24" i="7"/>
  <c r="I17" i="7"/>
  <c r="M19" i="7"/>
  <c r="J1" i="6"/>
  <c r="E3" i="6"/>
  <c r="D16" i="1"/>
  <c r="D15" i="1"/>
  <c r="D24" i="1"/>
  <c r="D20" i="1"/>
  <c r="D14" i="1"/>
  <c r="D19" i="1"/>
  <c r="D21" i="1"/>
  <c r="D13" i="1"/>
  <c r="K12" i="1"/>
  <c r="E12" i="1"/>
  <c r="G12" i="1"/>
  <c r="C5" i="1"/>
  <c r="H12" i="1" s="1"/>
  <c r="B3" i="1" l="1"/>
  <c r="C3" i="1" s="1"/>
  <c r="F12" i="1" l="1"/>
  <c r="J1" i="1"/>
</calcChain>
</file>

<file path=xl/sharedStrings.xml><?xml version="1.0" encoding="utf-8"?>
<sst xmlns="http://schemas.openxmlformats.org/spreadsheetml/2006/main" count="824" uniqueCount="58">
  <si>
    <t xml:space="preserve">trosak goriva </t>
  </si>
  <si>
    <t xml:space="preserve">VRSTA TROSKA </t>
  </si>
  <si>
    <t xml:space="preserve">IZNOS SA PDV-OM </t>
  </si>
  <si>
    <t>advokat</t>
  </si>
  <si>
    <t>posta</t>
  </si>
  <si>
    <t>reprezentacija</t>
  </si>
  <si>
    <t xml:space="preserve">trosak vozila </t>
  </si>
  <si>
    <t xml:space="preserve">racuni </t>
  </si>
  <si>
    <t xml:space="preserve">troskovi banke </t>
  </si>
  <si>
    <t xml:space="preserve">tehnomedia/gigatron </t>
  </si>
  <si>
    <t xml:space="preserve">plate </t>
  </si>
  <si>
    <t>3M</t>
  </si>
  <si>
    <t>AMAN</t>
  </si>
  <si>
    <t>BB TRADE</t>
  </si>
  <si>
    <t>BEOKOLP</t>
  </si>
  <si>
    <t>CORNER KIOSK</t>
  </si>
  <si>
    <t>GRAL</t>
  </si>
  <si>
    <t>KNEZ PETROL</t>
  </si>
  <si>
    <t>MEDIUS</t>
  </si>
  <si>
    <t>MIKROMARKET</t>
  </si>
  <si>
    <t>SREM PRESS</t>
  </si>
  <si>
    <t>UNIVEREXPORT</t>
  </si>
  <si>
    <t>VX TRADE</t>
  </si>
  <si>
    <t>broj racuna januar</t>
  </si>
  <si>
    <t>AROMA</t>
  </si>
  <si>
    <t xml:space="preserve">nacin isporuke </t>
  </si>
  <si>
    <t>-</t>
  </si>
  <si>
    <t xml:space="preserve">vozimo </t>
  </si>
  <si>
    <t xml:space="preserve">broj racuna </t>
  </si>
  <si>
    <t xml:space="preserve">trosak po racunu </t>
  </si>
  <si>
    <t xml:space="preserve">trosak transporta </t>
  </si>
  <si>
    <t xml:space="preserve">trosak goriva po racunu </t>
  </si>
  <si>
    <t xml:space="preserve">vozimo  </t>
  </si>
  <si>
    <t xml:space="preserve">SISTEM </t>
  </si>
  <si>
    <t xml:space="preserve">trosak advokata </t>
  </si>
  <si>
    <t>IZNOS BEZ PDV-A</t>
  </si>
  <si>
    <t>posta bez PDV-A</t>
  </si>
  <si>
    <t>tehnomedia/gigatron</t>
  </si>
  <si>
    <t xml:space="preserve">reprezentacija </t>
  </si>
  <si>
    <t>trosak akorda</t>
  </si>
  <si>
    <t xml:space="preserve">racuni + banka </t>
  </si>
  <si>
    <t>plate</t>
  </si>
  <si>
    <t xml:space="preserve">trosak programa </t>
  </si>
  <si>
    <t xml:space="preserve">Mesec </t>
  </si>
  <si>
    <t>Godina</t>
  </si>
  <si>
    <t xml:space="preserve">trosak laboratorije </t>
  </si>
  <si>
    <t xml:space="preserve">promotivni troskovi </t>
  </si>
  <si>
    <t>troskovi banke/osiguranje</t>
  </si>
  <si>
    <t xml:space="preserve">ostali troskovi </t>
  </si>
  <si>
    <t xml:space="preserve">troskovi kancelarije/ kac. materijal </t>
  </si>
  <si>
    <t xml:space="preserve">troškovi kanc/ materijala </t>
  </si>
  <si>
    <t>ostali troškovi</t>
  </si>
  <si>
    <t xml:space="preserve">tehnomedia/gigatron/dr techno </t>
  </si>
  <si>
    <t>ukupno trosak transporta</t>
  </si>
  <si>
    <t xml:space="preserve">ukupsn broj racuna </t>
  </si>
  <si>
    <t>cena po racunu</t>
  </si>
  <si>
    <t>trosak programa</t>
  </si>
  <si>
    <t xml:space="preserve">racuni + banka+ osiguranje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</si>
</sst>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1">
    <xf numFmtId="0" fontId="0" fillId="0" borderId="0"/>
  </cellStyleXfs>
  <cellXfs count="24">
    <xf numFmtId="0" fontId="0" fillId="0" borderId="0" xfId="0"/>
    <xf numFmtId="4" fontId="0" fillId="0" borderId="0" xfId="0" applyNumberFormat="1"/>
    <xf numFmtId="1" fontId="0" fillId="0" borderId="0" xfId="0" applyNumberFormat="1"/>
    <xf numFmtId="0" fontId="1" fillId="2" borderId="0" xfId="0" applyFont="1" applyFill="1"/>
    <xf numFmtId="1" fontId="0" fillId="0" borderId="1" xfId="0" applyNumberFormat="1" applyBorder="1"/>
    <xf numFmtId="0" fontId="1" fillId="3" borderId="1" xfId="0" applyFont="1" applyFill="1" applyBorder="1"/>
    <xf numFmtId="0" fontId="0" fillId="0" borderId="1" xfId="0" applyBorder="1"/>
    <xf numFmtId="0" fontId="2" fillId="4" borderId="1" xfId="0" applyFont="1" applyFill="1" applyBorder="1"/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1" fontId="0" fillId="0" borderId="2" xfId="0" applyNumberFormat="1" applyBorder="1"/>
    <xf numFmtId="1" fontId="1" fillId="5" borderId="1" xfId="0" applyNumberFormat="1" applyFont="1" applyFill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3" xfId="0" applyBorder="1"/>
    <xf numFmtId="1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Fill="1" applyBorder="1"/>
    <xf numFmtId="1" fontId="0" fillId="0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13A48-23E3-44BF-B47B-E6824D94EAA7}">
  <dimension ref="A1:O158"/>
  <sheetViews>
    <sheetView tabSelected="1" workbookViewId="0">
      <selection activeCell="G9" sqref="G9"/>
    </sheetView>
  </sheetViews>
  <sheetFormatPr defaultRowHeight="14.4" x14ac:dyDescent="0.3"/>
  <cols>
    <col min="1" max="1" width="13.77734375" bestFit="1" customWidth="1"/>
    <col min="2" max="2" width="15.6640625" bestFit="1" customWidth="1"/>
    <col min="3" max="3" width="14.6640625" bestFit="1" customWidth="1"/>
    <col min="4" max="4" width="18.5546875" bestFit="1" customWidth="1"/>
    <col min="5" max="5" width="11.77734375" bestFit="1" customWidth="1"/>
    <col min="6" max="6" width="13.5546875" bestFit="1" customWidth="1"/>
    <col min="7" max="7" width="12.33203125" bestFit="1" customWidth="1"/>
    <col min="8" max="8" width="23.88671875" bestFit="1" customWidth="1"/>
    <col min="10" max="10" width="16.77734375" bestFit="1" customWidth="1"/>
    <col min="11" max="11" width="17.6640625" bestFit="1" customWidth="1"/>
    <col min="12" max="12" width="22.33203125" bestFit="1" customWidth="1"/>
    <col min="13" max="13" width="12.6640625" bestFit="1" customWidth="1"/>
  </cols>
  <sheetData>
    <row r="1" spans="1:15" x14ac:dyDescent="0.3">
      <c r="A1" s="5" t="s">
        <v>33</v>
      </c>
      <c r="B1" s="5" t="s">
        <v>30</v>
      </c>
      <c r="C1" s="5" t="s">
        <v>34</v>
      </c>
      <c r="D1" s="5" t="s">
        <v>37</v>
      </c>
      <c r="E1" s="5" t="s">
        <v>6</v>
      </c>
      <c r="F1" s="5" t="s">
        <v>38</v>
      </c>
      <c r="G1" s="5" t="s">
        <v>56</v>
      </c>
      <c r="H1" s="5" t="s">
        <v>57</v>
      </c>
      <c r="I1" s="5" t="s">
        <v>41</v>
      </c>
      <c r="J1" s="20" t="s">
        <v>45</v>
      </c>
      <c r="K1" s="5" t="s">
        <v>46</v>
      </c>
      <c r="L1" s="21" t="s">
        <v>50</v>
      </c>
      <c r="M1" s="21" t="s">
        <v>51</v>
      </c>
      <c r="N1" s="5" t="s">
        <v>43</v>
      </c>
      <c r="O1" s="5" t="s">
        <v>44</v>
      </c>
    </row>
    <row r="2" spans="1:15" x14ac:dyDescent="0.3">
      <c r="A2" s="6" t="s">
        <v>11</v>
      </c>
      <c r="B2" s="6">
        <v>0</v>
      </c>
      <c r="C2" s="6">
        <v>6016.666666666667</v>
      </c>
      <c r="D2" s="6">
        <v>0</v>
      </c>
      <c r="E2" s="6">
        <v>7914.833333333333</v>
      </c>
      <c r="F2" s="6">
        <v>14302.166666666666</v>
      </c>
      <c r="G2" s="6">
        <v>1941.6666666666667</v>
      </c>
      <c r="H2" s="6">
        <v>424765.75</v>
      </c>
      <c r="I2" s="6">
        <v>48150</v>
      </c>
      <c r="J2" s="6">
        <v>8385.5833333333339</v>
      </c>
      <c r="K2" s="6">
        <v>64083.333333333336</v>
      </c>
      <c r="L2" s="6">
        <v>0</v>
      </c>
      <c r="M2" s="6">
        <v>3630.75</v>
      </c>
      <c r="N2" s="6">
        <v>12</v>
      </c>
      <c r="O2" s="6">
        <v>2025</v>
      </c>
    </row>
    <row r="3" spans="1:15" x14ac:dyDescent="0.3">
      <c r="A3" s="6" t="s">
        <v>12</v>
      </c>
      <c r="B3" s="6">
        <v>4213</v>
      </c>
      <c r="C3" s="6">
        <v>6016.666666666667</v>
      </c>
      <c r="D3" s="6">
        <v>0</v>
      </c>
      <c r="E3" s="6">
        <v>7914.833333333333</v>
      </c>
      <c r="F3" s="6">
        <v>14302.166666666666</v>
      </c>
      <c r="G3" s="6">
        <v>1941.6666666666667</v>
      </c>
      <c r="H3" s="6">
        <v>424765.75</v>
      </c>
      <c r="I3" s="6">
        <v>48150</v>
      </c>
      <c r="J3" s="6">
        <v>8385.5833333333339</v>
      </c>
      <c r="K3" s="6">
        <v>64083.333333333336</v>
      </c>
      <c r="L3" s="6">
        <v>0</v>
      </c>
      <c r="M3" s="6">
        <v>3630.75</v>
      </c>
      <c r="N3" s="6">
        <v>12</v>
      </c>
      <c r="O3" s="6">
        <v>2025</v>
      </c>
    </row>
    <row r="4" spans="1:15" x14ac:dyDescent="0.3">
      <c r="A4" s="6" t="s">
        <v>13</v>
      </c>
      <c r="B4" s="6">
        <v>108772</v>
      </c>
      <c r="C4" s="6">
        <v>6016.666666666667</v>
      </c>
      <c r="D4" s="6">
        <v>0</v>
      </c>
      <c r="E4" s="6">
        <v>7914.833333333333</v>
      </c>
      <c r="F4" s="6">
        <v>14302.166666666666</v>
      </c>
      <c r="G4" s="6">
        <v>1941.6666666666667</v>
      </c>
      <c r="H4" s="6">
        <v>424765.75</v>
      </c>
      <c r="I4" s="6">
        <v>48150</v>
      </c>
      <c r="J4" s="6">
        <v>8385.5833333333339</v>
      </c>
      <c r="K4" s="6">
        <v>64083.333333333336</v>
      </c>
      <c r="L4" s="6">
        <v>0</v>
      </c>
      <c r="M4" s="6">
        <v>3630.75</v>
      </c>
      <c r="N4" s="6">
        <v>12</v>
      </c>
      <c r="O4" s="6">
        <v>2025</v>
      </c>
    </row>
    <row r="5" spans="1:15" x14ac:dyDescent="0.3">
      <c r="A5" s="6" t="s">
        <v>14</v>
      </c>
      <c r="B5" s="6">
        <v>766</v>
      </c>
      <c r="C5" s="6">
        <v>6016.666666666667</v>
      </c>
      <c r="D5" s="6">
        <v>0</v>
      </c>
      <c r="E5" s="6">
        <v>7914.833333333333</v>
      </c>
      <c r="F5" s="6">
        <v>14302.166666666666</v>
      </c>
      <c r="G5" s="6">
        <v>1941.6666666666667</v>
      </c>
      <c r="H5" s="6">
        <v>424765.75</v>
      </c>
      <c r="I5" s="6">
        <v>48150</v>
      </c>
      <c r="J5" s="6">
        <v>8385.5833333333339</v>
      </c>
      <c r="K5" s="6">
        <v>64083.333333333336</v>
      </c>
      <c r="L5" s="6">
        <v>0</v>
      </c>
      <c r="M5" s="6">
        <v>3630.75</v>
      </c>
      <c r="N5" s="6">
        <v>12</v>
      </c>
      <c r="O5" s="6">
        <v>2025</v>
      </c>
    </row>
    <row r="6" spans="1:15" x14ac:dyDescent="0.3">
      <c r="A6" s="6" t="s">
        <v>15</v>
      </c>
      <c r="B6" s="6">
        <v>2298</v>
      </c>
      <c r="C6" s="6">
        <v>6016.666666666667</v>
      </c>
      <c r="D6" s="6">
        <v>0</v>
      </c>
      <c r="E6" s="6">
        <v>7914.833333333333</v>
      </c>
      <c r="F6" s="6">
        <v>14302.166666666666</v>
      </c>
      <c r="G6" s="6">
        <v>1941.6666666666667</v>
      </c>
      <c r="H6" s="6">
        <v>424765.75</v>
      </c>
      <c r="I6" s="6">
        <v>48150</v>
      </c>
      <c r="J6" s="6">
        <v>8385.5833333333339</v>
      </c>
      <c r="K6" s="6">
        <v>64083.333333333336</v>
      </c>
      <c r="L6" s="6">
        <v>0</v>
      </c>
      <c r="M6" s="6">
        <v>3630.75</v>
      </c>
      <c r="N6" s="6">
        <v>12</v>
      </c>
      <c r="O6" s="6">
        <v>2025</v>
      </c>
    </row>
    <row r="7" spans="1:15" x14ac:dyDescent="0.3">
      <c r="A7" s="6" t="s">
        <v>16</v>
      </c>
      <c r="B7" s="6">
        <v>0</v>
      </c>
      <c r="C7" s="6">
        <v>6016.666666666667</v>
      </c>
      <c r="D7" s="6">
        <v>0</v>
      </c>
      <c r="E7" s="6">
        <v>7914.833333333333</v>
      </c>
      <c r="F7" s="6">
        <v>14302.166666666666</v>
      </c>
      <c r="G7" s="6">
        <v>1941.6666666666667</v>
      </c>
      <c r="H7" s="6">
        <v>424765.75</v>
      </c>
      <c r="I7" s="6">
        <v>48150</v>
      </c>
      <c r="J7" s="6">
        <v>8385.5833333333339</v>
      </c>
      <c r="K7" s="6">
        <v>64083.333333333336</v>
      </c>
      <c r="L7" s="6">
        <v>0</v>
      </c>
      <c r="M7" s="6">
        <v>3630.75</v>
      </c>
      <c r="N7" s="6">
        <v>12</v>
      </c>
      <c r="O7" s="6">
        <v>2025</v>
      </c>
    </row>
    <row r="8" spans="1:15" x14ac:dyDescent="0.3">
      <c r="A8" s="6" t="s">
        <v>17</v>
      </c>
      <c r="B8" s="6">
        <v>32555</v>
      </c>
      <c r="C8" s="6">
        <v>6016.666666666667</v>
      </c>
      <c r="D8" s="6">
        <v>0</v>
      </c>
      <c r="E8" s="6">
        <v>7914.833333333333</v>
      </c>
      <c r="F8" s="6">
        <v>14302.166666666666</v>
      </c>
      <c r="G8" s="6">
        <v>1941.6666666666667</v>
      </c>
      <c r="H8" s="6">
        <v>424765.75</v>
      </c>
      <c r="I8" s="6">
        <v>48150</v>
      </c>
      <c r="J8" s="6">
        <v>8385.5833333333339</v>
      </c>
      <c r="K8" s="6">
        <v>64083.333333333336</v>
      </c>
      <c r="L8" s="6">
        <v>0</v>
      </c>
      <c r="M8" s="6">
        <v>3630.75</v>
      </c>
      <c r="N8" s="6">
        <v>12</v>
      </c>
      <c r="O8" s="6">
        <v>2025</v>
      </c>
    </row>
    <row r="9" spans="1:15" x14ac:dyDescent="0.3">
      <c r="A9" s="6" t="s">
        <v>18</v>
      </c>
      <c r="B9" s="6">
        <v>766</v>
      </c>
      <c r="C9" s="6">
        <v>6016.666666666667</v>
      </c>
      <c r="D9" s="6">
        <v>0</v>
      </c>
      <c r="E9" s="6">
        <v>7914.833333333333</v>
      </c>
      <c r="F9" s="6">
        <v>14302.166666666666</v>
      </c>
      <c r="G9" s="6">
        <v>1941.6666666666667</v>
      </c>
      <c r="H9" s="6">
        <v>424765.75</v>
      </c>
      <c r="I9" s="6">
        <v>48150</v>
      </c>
      <c r="J9" s="6">
        <v>8385.5833333333339</v>
      </c>
      <c r="K9" s="6">
        <v>64083.333333333336</v>
      </c>
      <c r="L9" s="6">
        <v>0</v>
      </c>
      <c r="M9" s="6">
        <v>3630.75</v>
      </c>
      <c r="N9" s="6">
        <v>12</v>
      </c>
      <c r="O9" s="6">
        <v>2025</v>
      </c>
    </row>
    <row r="10" spans="1:15" x14ac:dyDescent="0.3">
      <c r="A10" s="6" t="s">
        <v>19</v>
      </c>
      <c r="B10" s="6">
        <v>42513</v>
      </c>
      <c r="C10" s="6">
        <v>6016.666666666667</v>
      </c>
      <c r="D10" s="6">
        <v>0</v>
      </c>
      <c r="E10" s="6">
        <v>7914.833333333333</v>
      </c>
      <c r="F10" s="6">
        <v>14302.166666666666</v>
      </c>
      <c r="G10" s="6">
        <v>1941.6666666666667</v>
      </c>
      <c r="H10" s="6">
        <v>424765.75</v>
      </c>
      <c r="I10" s="6">
        <v>48150</v>
      </c>
      <c r="J10" s="6">
        <v>8385.5833333333339</v>
      </c>
      <c r="K10" s="6">
        <v>64083.333333333336</v>
      </c>
      <c r="L10" s="6">
        <v>0</v>
      </c>
      <c r="M10" s="6">
        <v>3630.75</v>
      </c>
      <c r="N10" s="6">
        <v>12</v>
      </c>
      <c r="O10" s="6">
        <v>2025</v>
      </c>
    </row>
    <row r="11" spans="1:15" x14ac:dyDescent="0.3">
      <c r="A11" s="6" t="s">
        <v>20</v>
      </c>
      <c r="B11" s="6">
        <v>1532</v>
      </c>
      <c r="C11" s="6">
        <v>6016.666666666667</v>
      </c>
      <c r="D11" s="6">
        <v>0</v>
      </c>
      <c r="E11" s="6">
        <v>7914.833333333333</v>
      </c>
      <c r="F11" s="6">
        <v>14302.166666666666</v>
      </c>
      <c r="G11" s="6">
        <v>1941.6666666666667</v>
      </c>
      <c r="H11" s="6">
        <v>424765.75</v>
      </c>
      <c r="I11" s="6">
        <v>48150</v>
      </c>
      <c r="J11" s="6">
        <v>8385.5833333333339</v>
      </c>
      <c r="K11" s="6">
        <v>64083.333333333336</v>
      </c>
      <c r="L11" s="6">
        <v>0</v>
      </c>
      <c r="M11" s="6">
        <v>3630.75</v>
      </c>
      <c r="N11" s="6">
        <v>12</v>
      </c>
      <c r="O11" s="6">
        <v>2025</v>
      </c>
    </row>
    <row r="12" spans="1:15" x14ac:dyDescent="0.3">
      <c r="A12" s="6" t="s">
        <v>21</v>
      </c>
      <c r="B12" s="6">
        <v>16852</v>
      </c>
      <c r="C12" s="6">
        <v>6016.666666666667</v>
      </c>
      <c r="D12" s="6">
        <v>0</v>
      </c>
      <c r="E12" s="6">
        <v>7914.833333333333</v>
      </c>
      <c r="F12" s="6">
        <v>14302.166666666666</v>
      </c>
      <c r="G12" s="6">
        <v>1941.6666666666667</v>
      </c>
      <c r="H12" s="6">
        <v>424765.75</v>
      </c>
      <c r="I12" s="6">
        <v>48150</v>
      </c>
      <c r="J12" s="6">
        <v>8385.5833333333339</v>
      </c>
      <c r="K12" s="6">
        <v>64083.333333333336</v>
      </c>
      <c r="L12" s="6">
        <v>0</v>
      </c>
      <c r="M12" s="6">
        <v>3630.75</v>
      </c>
      <c r="N12" s="6">
        <v>12</v>
      </c>
      <c r="O12" s="6">
        <v>2025</v>
      </c>
    </row>
    <row r="13" spans="1:15" x14ac:dyDescent="0.3">
      <c r="A13" s="6" t="s">
        <v>22</v>
      </c>
      <c r="B13" s="6">
        <v>0</v>
      </c>
      <c r="C13" s="6">
        <v>6016.666666666667</v>
      </c>
      <c r="D13" s="6">
        <v>0</v>
      </c>
      <c r="E13" s="6">
        <v>7914.833333333333</v>
      </c>
      <c r="F13" s="6">
        <v>14302.166666666666</v>
      </c>
      <c r="G13" s="6">
        <v>1941.6666666666667</v>
      </c>
      <c r="H13" s="6">
        <v>424765.75</v>
      </c>
      <c r="I13" s="6">
        <v>48150</v>
      </c>
      <c r="J13" s="6">
        <v>8385.5833333333339</v>
      </c>
      <c r="K13" s="6">
        <v>64083.333333333336</v>
      </c>
      <c r="L13" s="6">
        <v>0</v>
      </c>
      <c r="M13" s="6">
        <v>3630.75</v>
      </c>
      <c r="N13" s="6">
        <v>12</v>
      </c>
      <c r="O13" s="6">
        <v>2025</v>
      </c>
    </row>
    <row r="14" spans="1:15" x14ac:dyDescent="0.3">
      <c r="A14" s="8" t="s">
        <v>11</v>
      </c>
      <c r="B14" s="6">
        <v>36977</v>
      </c>
      <c r="C14" s="6">
        <v>11901.666666666666</v>
      </c>
      <c r="D14" s="6">
        <v>0</v>
      </c>
      <c r="E14" s="6">
        <v>2221.5833333333335</v>
      </c>
      <c r="F14" s="6">
        <v>37937.416666666664</v>
      </c>
      <c r="G14" s="6">
        <v>900</v>
      </c>
      <c r="H14" s="6">
        <v>3919.75</v>
      </c>
      <c r="I14" s="6">
        <v>46960</v>
      </c>
      <c r="J14" s="6">
        <v>0</v>
      </c>
      <c r="K14" s="6">
        <v>7596.666666666667</v>
      </c>
      <c r="L14" s="6">
        <v>5884.75</v>
      </c>
      <c r="M14" s="6">
        <v>250</v>
      </c>
      <c r="N14" s="6">
        <v>11</v>
      </c>
      <c r="O14" s="6">
        <v>2025</v>
      </c>
    </row>
    <row r="15" spans="1:15" x14ac:dyDescent="0.3">
      <c r="A15" s="8" t="s">
        <v>12</v>
      </c>
      <c r="B15" s="6">
        <v>5385</v>
      </c>
      <c r="C15" s="6">
        <v>11901.666666666666</v>
      </c>
      <c r="D15" s="6">
        <v>0</v>
      </c>
      <c r="E15" s="6">
        <v>2221.5833333333335</v>
      </c>
      <c r="F15" s="6">
        <v>37937.416666666664</v>
      </c>
      <c r="G15" s="6">
        <v>900</v>
      </c>
      <c r="H15" s="6">
        <v>3919.75</v>
      </c>
      <c r="I15" s="6">
        <v>46960</v>
      </c>
      <c r="J15" s="6">
        <v>0</v>
      </c>
      <c r="K15" s="6">
        <v>7596.666666666667</v>
      </c>
      <c r="L15" s="6">
        <v>5884.75</v>
      </c>
      <c r="M15" s="6">
        <v>250</v>
      </c>
      <c r="N15" s="6">
        <v>11</v>
      </c>
      <c r="O15" s="6">
        <v>2025</v>
      </c>
    </row>
    <row r="16" spans="1:15" x14ac:dyDescent="0.3">
      <c r="A16" s="8" t="s">
        <v>13</v>
      </c>
      <c r="B16" s="6">
        <v>50619</v>
      </c>
      <c r="C16" s="6">
        <v>11901.666666666666</v>
      </c>
      <c r="D16" s="6">
        <v>0</v>
      </c>
      <c r="E16" s="6">
        <v>2221.5833333333335</v>
      </c>
      <c r="F16" s="6">
        <v>37937.416666666664</v>
      </c>
      <c r="G16" s="6">
        <v>900</v>
      </c>
      <c r="H16" s="6">
        <v>3919.75</v>
      </c>
      <c r="I16" s="6">
        <v>46960</v>
      </c>
      <c r="J16" s="6">
        <v>0</v>
      </c>
      <c r="K16" s="6">
        <v>7596.666666666667</v>
      </c>
      <c r="L16" s="6">
        <v>5884.75</v>
      </c>
      <c r="M16" s="6">
        <v>250</v>
      </c>
      <c r="N16" s="6">
        <v>11</v>
      </c>
      <c r="O16" s="6">
        <v>2025</v>
      </c>
    </row>
    <row r="17" spans="1:15" x14ac:dyDescent="0.3">
      <c r="A17" s="8" t="s">
        <v>14</v>
      </c>
      <c r="B17" s="6">
        <v>1795</v>
      </c>
      <c r="C17" s="6">
        <v>11901.666666666666</v>
      </c>
      <c r="D17" s="6">
        <v>0</v>
      </c>
      <c r="E17" s="6">
        <v>2221.5833333333335</v>
      </c>
      <c r="F17" s="6">
        <v>37937.416666666664</v>
      </c>
      <c r="G17" s="6">
        <v>900</v>
      </c>
      <c r="H17" s="6">
        <v>3919.75</v>
      </c>
      <c r="I17" s="6">
        <v>46960</v>
      </c>
      <c r="J17" s="6">
        <v>0</v>
      </c>
      <c r="K17" s="6">
        <v>7596.666666666667</v>
      </c>
      <c r="L17" s="6">
        <v>5884.75</v>
      </c>
      <c r="M17" s="6">
        <v>250</v>
      </c>
      <c r="N17" s="6">
        <v>11</v>
      </c>
      <c r="O17" s="6">
        <v>2025</v>
      </c>
    </row>
    <row r="18" spans="1:15" x14ac:dyDescent="0.3">
      <c r="A18" s="8" t="s">
        <v>15</v>
      </c>
      <c r="B18" s="6">
        <v>1795</v>
      </c>
      <c r="C18" s="6">
        <v>11901.666666666666</v>
      </c>
      <c r="D18" s="6">
        <v>0</v>
      </c>
      <c r="E18" s="6">
        <v>2221.5833333333335</v>
      </c>
      <c r="F18" s="6">
        <v>37937.416666666664</v>
      </c>
      <c r="G18" s="6">
        <v>900</v>
      </c>
      <c r="H18" s="6">
        <v>3919.75</v>
      </c>
      <c r="I18" s="6">
        <v>46960</v>
      </c>
      <c r="J18" s="6">
        <v>0</v>
      </c>
      <c r="K18" s="6">
        <v>7596.666666666667</v>
      </c>
      <c r="L18" s="6">
        <v>5884.75</v>
      </c>
      <c r="M18" s="6">
        <v>250</v>
      </c>
      <c r="N18" s="6">
        <v>11</v>
      </c>
      <c r="O18" s="6">
        <v>2025</v>
      </c>
    </row>
    <row r="19" spans="1:15" x14ac:dyDescent="0.3">
      <c r="A19" s="8" t="s">
        <v>16</v>
      </c>
      <c r="B19" s="6">
        <v>0</v>
      </c>
      <c r="C19" s="6">
        <v>11901.666666666666</v>
      </c>
      <c r="D19" s="6">
        <v>0</v>
      </c>
      <c r="E19" s="6">
        <v>2221.5833333333335</v>
      </c>
      <c r="F19" s="6">
        <v>37937.416666666664</v>
      </c>
      <c r="G19" s="6">
        <v>900</v>
      </c>
      <c r="H19" s="6">
        <v>3919.75</v>
      </c>
      <c r="I19" s="6">
        <v>46960</v>
      </c>
      <c r="J19" s="6">
        <v>0</v>
      </c>
      <c r="K19" s="6">
        <v>7596.666666666667</v>
      </c>
      <c r="L19" s="6">
        <v>5884.75</v>
      </c>
      <c r="M19" s="6">
        <v>250</v>
      </c>
      <c r="N19" s="6">
        <v>11</v>
      </c>
      <c r="O19" s="6">
        <v>2025</v>
      </c>
    </row>
    <row r="20" spans="1:15" x14ac:dyDescent="0.3">
      <c r="A20" s="8" t="s">
        <v>17</v>
      </c>
      <c r="B20" s="6">
        <v>1436</v>
      </c>
      <c r="C20" s="6">
        <v>11901.666666666666</v>
      </c>
      <c r="D20" s="6">
        <v>0</v>
      </c>
      <c r="E20" s="6">
        <v>2221.5833333333335</v>
      </c>
      <c r="F20" s="6">
        <v>37937.416666666664</v>
      </c>
      <c r="G20" s="6">
        <v>900</v>
      </c>
      <c r="H20" s="6">
        <v>3919.75</v>
      </c>
      <c r="I20" s="6">
        <v>46960</v>
      </c>
      <c r="J20" s="6">
        <v>0</v>
      </c>
      <c r="K20" s="6">
        <v>7596.666666666667</v>
      </c>
      <c r="L20" s="6">
        <v>5884.75</v>
      </c>
      <c r="M20" s="6">
        <v>250</v>
      </c>
      <c r="N20" s="6">
        <v>11</v>
      </c>
      <c r="O20" s="6">
        <v>2025</v>
      </c>
    </row>
    <row r="21" spans="1:15" x14ac:dyDescent="0.3">
      <c r="A21" s="8" t="s">
        <v>18</v>
      </c>
      <c r="B21" s="6">
        <v>0</v>
      </c>
      <c r="C21" s="6">
        <v>11901.666666666666</v>
      </c>
      <c r="D21" s="6">
        <v>0</v>
      </c>
      <c r="E21" s="6">
        <v>2221.5833333333335</v>
      </c>
      <c r="F21" s="6">
        <v>37937.416666666664</v>
      </c>
      <c r="G21" s="6">
        <v>900</v>
      </c>
      <c r="H21" s="6">
        <v>3919.75</v>
      </c>
      <c r="I21" s="6">
        <v>46960</v>
      </c>
      <c r="J21" s="6">
        <v>0</v>
      </c>
      <c r="K21" s="6">
        <v>7596.666666666667</v>
      </c>
      <c r="L21" s="6">
        <v>5884.75</v>
      </c>
      <c r="M21" s="6">
        <v>250</v>
      </c>
      <c r="N21" s="6">
        <v>11</v>
      </c>
      <c r="O21" s="6">
        <v>2025</v>
      </c>
    </row>
    <row r="22" spans="1:15" x14ac:dyDescent="0.3">
      <c r="A22" s="8" t="s">
        <v>19</v>
      </c>
      <c r="B22" s="6">
        <v>46670</v>
      </c>
      <c r="C22" s="6">
        <v>11901.666666666666</v>
      </c>
      <c r="D22" s="6">
        <v>0</v>
      </c>
      <c r="E22" s="6">
        <v>2221.5833333333335</v>
      </c>
      <c r="F22" s="6">
        <v>37937.416666666664</v>
      </c>
      <c r="G22" s="6">
        <v>900</v>
      </c>
      <c r="H22" s="6">
        <v>3919.75</v>
      </c>
      <c r="I22" s="6">
        <v>46960</v>
      </c>
      <c r="J22" s="6">
        <v>0</v>
      </c>
      <c r="K22" s="6">
        <v>7596.666666666667</v>
      </c>
      <c r="L22" s="6">
        <v>5884.75</v>
      </c>
      <c r="M22" s="6">
        <v>250</v>
      </c>
      <c r="N22" s="6">
        <v>11</v>
      </c>
      <c r="O22" s="6">
        <v>2025</v>
      </c>
    </row>
    <row r="23" spans="1:15" x14ac:dyDescent="0.3">
      <c r="A23" s="8" t="s">
        <v>20</v>
      </c>
      <c r="B23" s="6">
        <v>1436</v>
      </c>
      <c r="C23" s="6">
        <v>11901.666666666666</v>
      </c>
      <c r="D23" s="6">
        <v>0</v>
      </c>
      <c r="E23" s="6">
        <v>2221.5833333333335</v>
      </c>
      <c r="F23" s="6">
        <v>37937.416666666664</v>
      </c>
      <c r="G23" s="6">
        <v>900</v>
      </c>
      <c r="H23" s="6">
        <v>3919.75</v>
      </c>
      <c r="I23" s="6">
        <v>46960</v>
      </c>
      <c r="J23" s="6">
        <v>0</v>
      </c>
      <c r="K23" s="6">
        <v>7596.666666666667</v>
      </c>
      <c r="L23" s="6">
        <v>5884.75</v>
      </c>
      <c r="M23" s="6">
        <v>250</v>
      </c>
      <c r="N23" s="6">
        <v>11</v>
      </c>
      <c r="O23" s="6">
        <v>2025</v>
      </c>
    </row>
    <row r="24" spans="1:15" x14ac:dyDescent="0.3">
      <c r="A24" s="8" t="s">
        <v>21</v>
      </c>
      <c r="B24" s="6">
        <v>43439</v>
      </c>
      <c r="C24" s="6">
        <v>11901.666666666666</v>
      </c>
      <c r="D24" s="6">
        <v>0</v>
      </c>
      <c r="E24" s="6">
        <v>2221.5833333333335</v>
      </c>
      <c r="F24" s="6">
        <v>37937.416666666664</v>
      </c>
      <c r="G24" s="6">
        <v>900</v>
      </c>
      <c r="H24" s="6">
        <v>3919.75</v>
      </c>
      <c r="I24" s="6">
        <v>46960</v>
      </c>
      <c r="J24" s="6">
        <v>0</v>
      </c>
      <c r="K24" s="6">
        <v>7596.666666666667</v>
      </c>
      <c r="L24" s="6">
        <v>5884.75</v>
      </c>
      <c r="M24" s="6">
        <v>250</v>
      </c>
      <c r="N24" s="6">
        <v>11</v>
      </c>
      <c r="O24" s="6">
        <v>2025</v>
      </c>
    </row>
    <row r="25" spans="1:15" x14ac:dyDescent="0.3">
      <c r="A25" s="8" t="s">
        <v>22</v>
      </c>
      <c r="B25" s="6">
        <v>0</v>
      </c>
      <c r="C25" s="6">
        <v>11901.666666666666</v>
      </c>
      <c r="D25" s="6">
        <v>0</v>
      </c>
      <c r="E25" s="6">
        <v>2221.5833333333335</v>
      </c>
      <c r="F25" s="6">
        <v>37937.416666666664</v>
      </c>
      <c r="G25" s="6">
        <v>900</v>
      </c>
      <c r="H25" s="6">
        <v>3919.75</v>
      </c>
      <c r="I25" s="6">
        <v>46960</v>
      </c>
      <c r="J25" s="6">
        <v>0</v>
      </c>
      <c r="K25" s="6">
        <v>7596.666666666667</v>
      </c>
      <c r="L25" s="6">
        <v>5884.75</v>
      </c>
      <c r="M25" s="6">
        <v>250</v>
      </c>
      <c r="N25" s="6">
        <v>11</v>
      </c>
      <c r="O25" s="6">
        <v>2025</v>
      </c>
    </row>
    <row r="26" spans="1:15" x14ac:dyDescent="0.3">
      <c r="A26" s="8" t="s">
        <v>11</v>
      </c>
      <c r="B26" s="6">
        <v>0</v>
      </c>
      <c r="C26" s="6">
        <v>5875</v>
      </c>
      <c r="D26" s="6">
        <v>801.25</v>
      </c>
      <c r="E26" s="6">
        <v>0</v>
      </c>
      <c r="F26" s="6">
        <v>1938.1666666666667</v>
      </c>
      <c r="G26" s="6">
        <v>450</v>
      </c>
      <c r="H26" s="6">
        <v>12363.833333333334</v>
      </c>
      <c r="I26" s="6">
        <v>46788.083333333336</v>
      </c>
      <c r="J26" s="6">
        <v>1544.8333333333333</v>
      </c>
      <c r="K26" s="6">
        <v>18333.333333333332</v>
      </c>
      <c r="L26" s="6">
        <v>4860.916666666667</v>
      </c>
      <c r="M26" s="6">
        <v>8116.666666666667</v>
      </c>
      <c r="N26" s="6">
        <v>10</v>
      </c>
      <c r="O26" s="6">
        <v>2025</v>
      </c>
    </row>
    <row r="27" spans="1:15" x14ac:dyDescent="0.3">
      <c r="A27" s="8" t="s">
        <v>12</v>
      </c>
      <c r="B27" s="6">
        <v>60378</v>
      </c>
      <c r="C27" s="6">
        <v>5875</v>
      </c>
      <c r="D27" s="6">
        <v>801.25</v>
      </c>
      <c r="E27" s="6">
        <v>0</v>
      </c>
      <c r="F27" s="6">
        <v>1938.1666666666667</v>
      </c>
      <c r="G27" s="6">
        <v>450</v>
      </c>
      <c r="H27" s="6">
        <v>12363.833333333334</v>
      </c>
      <c r="I27" s="6">
        <v>46788.083333333336</v>
      </c>
      <c r="J27" s="6">
        <v>1544.8333333333333</v>
      </c>
      <c r="K27" s="6">
        <v>18333.333333333332</v>
      </c>
      <c r="L27" s="6">
        <v>4860.916666666667</v>
      </c>
      <c r="M27" s="6">
        <v>8116.666666666667</v>
      </c>
      <c r="N27" s="6">
        <v>10</v>
      </c>
      <c r="O27" s="6">
        <v>2025</v>
      </c>
    </row>
    <row r="28" spans="1:15" x14ac:dyDescent="0.3">
      <c r="A28" s="8" t="s">
        <v>13</v>
      </c>
      <c r="B28" s="6">
        <v>47886</v>
      </c>
      <c r="C28" s="6">
        <v>5875</v>
      </c>
      <c r="D28" s="6">
        <v>801.25</v>
      </c>
      <c r="E28" s="6">
        <v>0</v>
      </c>
      <c r="F28" s="6">
        <v>1938.1666666666667</v>
      </c>
      <c r="G28" s="6">
        <v>450</v>
      </c>
      <c r="H28" s="6">
        <v>12363.833333333334</v>
      </c>
      <c r="I28" s="6">
        <v>46788.083333333336</v>
      </c>
      <c r="J28" s="6">
        <v>1544.8333333333333</v>
      </c>
      <c r="K28" s="6">
        <v>18333.333333333332</v>
      </c>
      <c r="L28" s="6">
        <v>4860.916666666667</v>
      </c>
      <c r="M28" s="6">
        <v>8116.666666666667</v>
      </c>
      <c r="N28" s="6">
        <v>10</v>
      </c>
      <c r="O28" s="6">
        <v>2025</v>
      </c>
    </row>
    <row r="29" spans="1:15" x14ac:dyDescent="0.3">
      <c r="A29" s="8" t="s">
        <v>14</v>
      </c>
      <c r="B29" s="6">
        <v>1041</v>
      </c>
      <c r="C29" s="6">
        <v>5875</v>
      </c>
      <c r="D29" s="6">
        <v>801.25</v>
      </c>
      <c r="E29" s="6">
        <v>0</v>
      </c>
      <c r="F29" s="6">
        <v>1938.1666666666667</v>
      </c>
      <c r="G29" s="6">
        <v>450</v>
      </c>
      <c r="H29" s="6">
        <v>12363.833333333334</v>
      </c>
      <c r="I29" s="6">
        <v>46788.083333333336</v>
      </c>
      <c r="J29" s="6">
        <v>1544.8333333333333</v>
      </c>
      <c r="K29" s="6">
        <v>18333.333333333332</v>
      </c>
      <c r="L29" s="6">
        <v>4860.916666666667</v>
      </c>
      <c r="M29" s="6">
        <v>8116.666666666667</v>
      </c>
      <c r="N29" s="6">
        <v>10</v>
      </c>
      <c r="O29" s="6">
        <v>2025</v>
      </c>
    </row>
    <row r="30" spans="1:15" x14ac:dyDescent="0.3">
      <c r="A30" s="8" t="s">
        <v>15</v>
      </c>
      <c r="B30" s="6">
        <v>1388</v>
      </c>
      <c r="C30" s="6">
        <v>5875</v>
      </c>
      <c r="D30" s="6">
        <v>801.25</v>
      </c>
      <c r="E30" s="6">
        <v>0</v>
      </c>
      <c r="F30" s="6">
        <v>1938.1666666666667</v>
      </c>
      <c r="G30" s="6">
        <v>450</v>
      </c>
      <c r="H30" s="6">
        <v>12363.833333333334</v>
      </c>
      <c r="I30" s="6">
        <v>46788.083333333336</v>
      </c>
      <c r="J30" s="6">
        <v>1544.8333333333333</v>
      </c>
      <c r="K30" s="6">
        <v>18333.333333333332</v>
      </c>
      <c r="L30" s="6">
        <v>4860.916666666667</v>
      </c>
      <c r="M30" s="6">
        <v>8116.666666666667</v>
      </c>
      <c r="N30" s="6">
        <v>10</v>
      </c>
      <c r="O30" s="6">
        <v>2025</v>
      </c>
    </row>
    <row r="31" spans="1:15" x14ac:dyDescent="0.3">
      <c r="A31" s="8" t="s">
        <v>16</v>
      </c>
      <c r="B31" s="6">
        <v>0</v>
      </c>
      <c r="C31" s="6">
        <v>5875</v>
      </c>
      <c r="D31" s="6">
        <v>801.25</v>
      </c>
      <c r="E31" s="6">
        <v>0</v>
      </c>
      <c r="F31" s="6">
        <v>1938.1666666666667</v>
      </c>
      <c r="G31" s="6">
        <v>450</v>
      </c>
      <c r="H31" s="6">
        <v>12363.833333333334</v>
      </c>
      <c r="I31" s="6">
        <v>46788.083333333336</v>
      </c>
      <c r="J31" s="6">
        <v>1544.8333333333333</v>
      </c>
      <c r="K31" s="6">
        <v>18333.333333333332</v>
      </c>
      <c r="L31" s="6">
        <v>4860.916666666667</v>
      </c>
      <c r="M31" s="6">
        <v>8116.666666666667</v>
      </c>
      <c r="N31" s="6">
        <v>10</v>
      </c>
      <c r="O31" s="6">
        <v>2025</v>
      </c>
    </row>
    <row r="32" spans="1:15" x14ac:dyDescent="0.3">
      <c r="A32" s="8" t="s">
        <v>17</v>
      </c>
      <c r="B32" s="6">
        <v>3470</v>
      </c>
      <c r="C32" s="6">
        <v>5875</v>
      </c>
      <c r="D32" s="6">
        <v>801.25</v>
      </c>
      <c r="E32" s="6">
        <v>0</v>
      </c>
      <c r="F32" s="6">
        <v>1938.1666666666667</v>
      </c>
      <c r="G32" s="6">
        <v>450</v>
      </c>
      <c r="H32" s="6">
        <v>12363.833333333334</v>
      </c>
      <c r="I32" s="6">
        <v>46788.083333333336</v>
      </c>
      <c r="J32" s="6">
        <v>1544.8333333333333</v>
      </c>
      <c r="K32" s="6">
        <v>18333.333333333332</v>
      </c>
      <c r="L32" s="6">
        <v>4860.916666666667</v>
      </c>
      <c r="M32" s="6">
        <v>8116.666666666667</v>
      </c>
      <c r="N32" s="6">
        <v>10</v>
      </c>
      <c r="O32" s="6">
        <v>2025</v>
      </c>
    </row>
    <row r="33" spans="1:15" x14ac:dyDescent="0.3">
      <c r="A33" s="8" t="s">
        <v>18</v>
      </c>
      <c r="B33" s="6">
        <v>694</v>
      </c>
      <c r="C33" s="6">
        <v>5875</v>
      </c>
      <c r="D33" s="6">
        <v>801.25</v>
      </c>
      <c r="E33" s="6">
        <v>0</v>
      </c>
      <c r="F33" s="6">
        <v>1938.1666666666667</v>
      </c>
      <c r="G33" s="6">
        <v>450</v>
      </c>
      <c r="H33" s="6">
        <v>12363.833333333334</v>
      </c>
      <c r="I33" s="6">
        <v>46788.083333333336</v>
      </c>
      <c r="J33" s="6">
        <v>1544.8333333333333</v>
      </c>
      <c r="K33" s="6">
        <v>18333.333333333332</v>
      </c>
      <c r="L33" s="6">
        <v>4860.916666666667</v>
      </c>
      <c r="M33" s="6">
        <v>8116.666666666667</v>
      </c>
      <c r="N33" s="6">
        <v>10</v>
      </c>
      <c r="O33" s="6">
        <v>2025</v>
      </c>
    </row>
    <row r="34" spans="1:15" x14ac:dyDescent="0.3">
      <c r="A34" s="8" t="s">
        <v>19</v>
      </c>
      <c r="B34" s="6">
        <v>27413</v>
      </c>
      <c r="C34" s="6">
        <v>5875</v>
      </c>
      <c r="D34" s="6">
        <v>801.25</v>
      </c>
      <c r="E34" s="6">
        <v>0</v>
      </c>
      <c r="F34" s="6">
        <v>1938.1666666666667</v>
      </c>
      <c r="G34" s="6">
        <v>450</v>
      </c>
      <c r="H34" s="6">
        <v>12363.833333333334</v>
      </c>
      <c r="I34" s="6">
        <v>46788.083333333336</v>
      </c>
      <c r="J34" s="6">
        <v>1544.8333333333333</v>
      </c>
      <c r="K34" s="6">
        <v>18333.333333333332</v>
      </c>
      <c r="L34" s="6">
        <v>4860.916666666667</v>
      </c>
      <c r="M34" s="6">
        <v>8116.666666666667</v>
      </c>
      <c r="N34" s="6">
        <v>10</v>
      </c>
      <c r="O34" s="6">
        <v>2025</v>
      </c>
    </row>
    <row r="35" spans="1:15" x14ac:dyDescent="0.3">
      <c r="A35" s="8" t="s">
        <v>20</v>
      </c>
      <c r="B35" s="6">
        <v>694</v>
      </c>
      <c r="C35" s="6">
        <v>5875</v>
      </c>
      <c r="D35" s="6">
        <v>801.25</v>
      </c>
      <c r="E35" s="6">
        <v>0</v>
      </c>
      <c r="F35" s="6">
        <v>1938.1666666666667</v>
      </c>
      <c r="G35" s="6">
        <v>450</v>
      </c>
      <c r="H35" s="6">
        <v>12363.833333333334</v>
      </c>
      <c r="I35" s="6">
        <v>46788.083333333336</v>
      </c>
      <c r="J35" s="6">
        <v>1544.8333333333333</v>
      </c>
      <c r="K35" s="6">
        <v>18333.333333333332</v>
      </c>
      <c r="L35" s="6">
        <v>4860.916666666667</v>
      </c>
      <c r="M35" s="6">
        <v>8116.666666666667</v>
      </c>
      <c r="N35" s="6">
        <v>10</v>
      </c>
      <c r="O35" s="6">
        <v>2025</v>
      </c>
    </row>
    <row r="36" spans="1:15" x14ac:dyDescent="0.3">
      <c r="A36" s="8" t="s">
        <v>21</v>
      </c>
      <c r="B36" s="6">
        <v>30883</v>
      </c>
      <c r="C36" s="6">
        <v>5875</v>
      </c>
      <c r="D36" s="6">
        <v>801.25</v>
      </c>
      <c r="E36" s="6">
        <v>0</v>
      </c>
      <c r="F36" s="6">
        <v>1938.1666666666667</v>
      </c>
      <c r="G36" s="6">
        <v>450</v>
      </c>
      <c r="H36" s="6">
        <v>12363.833333333334</v>
      </c>
      <c r="I36" s="6">
        <v>46788.083333333336</v>
      </c>
      <c r="J36" s="6">
        <v>1544.8333333333333</v>
      </c>
      <c r="K36" s="6">
        <v>18333.333333333332</v>
      </c>
      <c r="L36" s="6">
        <v>4860.916666666667</v>
      </c>
      <c r="M36" s="6">
        <v>8116.666666666667</v>
      </c>
      <c r="N36" s="6">
        <v>10</v>
      </c>
      <c r="O36" s="6">
        <v>2025</v>
      </c>
    </row>
    <row r="37" spans="1:15" x14ac:dyDescent="0.3">
      <c r="A37" s="8" t="s">
        <v>22</v>
      </c>
      <c r="B37" s="6">
        <v>0</v>
      </c>
      <c r="C37" s="6">
        <v>5875</v>
      </c>
      <c r="D37" s="6">
        <v>801.25</v>
      </c>
      <c r="E37" s="6">
        <v>0</v>
      </c>
      <c r="F37" s="6">
        <v>1938.1666666666667</v>
      </c>
      <c r="G37" s="6">
        <v>450</v>
      </c>
      <c r="H37" s="6">
        <v>12363.833333333334</v>
      </c>
      <c r="I37" s="6">
        <v>46788.083333333336</v>
      </c>
      <c r="J37" s="6">
        <v>1544.8333333333333</v>
      </c>
      <c r="K37" s="6">
        <v>18333.333333333332</v>
      </c>
      <c r="L37" s="6">
        <v>4860.916666666667</v>
      </c>
      <c r="M37" s="6">
        <v>8116.666666666667</v>
      </c>
      <c r="N37" s="6">
        <v>10</v>
      </c>
      <c r="O37" s="6">
        <v>2025</v>
      </c>
    </row>
    <row r="38" spans="1:15" x14ac:dyDescent="0.3">
      <c r="A38" s="8" t="s">
        <v>11</v>
      </c>
      <c r="B38" s="9">
        <v>7392</v>
      </c>
      <c r="C38" s="9">
        <v>0</v>
      </c>
      <c r="D38" s="10">
        <v>6153.583333333333</v>
      </c>
      <c r="E38" s="11">
        <v>0</v>
      </c>
      <c r="F38" s="9">
        <v>9693</v>
      </c>
      <c r="G38" s="9">
        <v>2057.3333333333335</v>
      </c>
      <c r="H38" s="9">
        <v>1806.6666666666667</v>
      </c>
      <c r="I38" s="4">
        <v>48682.666666666664</v>
      </c>
      <c r="J38" s="4">
        <v>3734</v>
      </c>
      <c r="K38" s="4">
        <v>15833.333333333334</v>
      </c>
      <c r="L38" s="4">
        <v>2773.9166666666665</v>
      </c>
      <c r="M38" s="6">
        <v>25988.666666666668</v>
      </c>
      <c r="N38" s="23">
        <v>9</v>
      </c>
      <c r="O38" s="23">
        <v>2025</v>
      </c>
    </row>
    <row r="39" spans="1:15" x14ac:dyDescent="0.3">
      <c r="A39" s="8" t="s">
        <v>12</v>
      </c>
      <c r="B39" s="9">
        <v>53088</v>
      </c>
      <c r="C39" s="9">
        <v>0</v>
      </c>
      <c r="D39" s="10">
        <v>6153.583333333333</v>
      </c>
      <c r="E39" s="11">
        <v>0</v>
      </c>
      <c r="F39" s="9">
        <v>9693</v>
      </c>
      <c r="G39" s="9">
        <v>2057.3333333333335</v>
      </c>
      <c r="H39" s="9">
        <v>1806.6666666666667</v>
      </c>
      <c r="I39" s="4">
        <v>48682.666666666664</v>
      </c>
      <c r="J39" s="4">
        <v>3734</v>
      </c>
      <c r="K39" s="4">
        <v>15833.333333333334</v>
      </c>
      <c r="L39" s="4">
        <v>2773.9166666666665</v>
      </c>
      <c r="M39" s="6">
        <v>25988.666666666668</v>
      </c>
      <c r="N39" s="23">
        <v>9</v>
      </c>
      <c r="O39" s="23">
        <v>2025</v>
      </c>
    </row>
    <row r="40" spans="1:15" x14ac:dyDescent="0.3">
      <c r="A40" s="8" t="s">
        <v>13</v>
      </c>
      <c r="B40" s="9">
        <v>51744</v>
      </c>
      <c r="C40" s="9">
        <v>0</v>
      </c>
      <c r="D40" s="10">
        <v>6153.583333333333</v>
      </c>
      <c r="E40" s="11">
        <v>0</v>
      </c>
      <c r="F40" s="9">
        <v>9693</v>
      </c>
      <c r="G40" s="9">
        <v>2057.3333333333335</v>
      </c>
      <c r="H40" s="9">
        <v>1806.6666666666667</v>
      </c>
      <c r="I40" s="4">
        <v>48682.666666666664</v>
      </c>
      <c r="J40" s="4">
        <v>3734</v>
      </c>
      <c r="K40" s="4">
        <v>15833.333333333334</v>
      </c>
      <c r="L40" s="4">
        <v>2773.9166666666665</v>
      </c>
      <c r="M40" s="6">
        <v>25988.666666666668</v>
      </c>
      <c r="N40" s="23">
        <v>9</v>
      </c>
      <c r="O40" s="23">
        <v>2025</v>
      </c>
    </row>
    <row r="41" spans="1:15" x14ac:dyDescent="0.3">
      <c r="A41" s="8" t="s">
        <v>14</v>
      </c>
      <c r="B41" s="9">
        <v>1120</v>
      </c>
      <c r="C41" s="9">
        <v>0</v>
      </c>
      <c r="D41" s="10">
        <v>6153.583333333333</v>
      </c>
      <c r="E41" s="11">
        <v>0</v>
      </c>
      <c r="F41" s="9">
        <v>9693</v>
      </c>
      <c r="G41" s="9">
        <v>2057.3333333333335</v>
      </c>
      <c r="H41" s="9">
        <v>1806.6666666666667</v>
      </c>
      <c r="I41" s="4">
        <v>48682.666666666664</v>
      </c>
      <c r="J41" s="4">
        <v>3734</v>
      </c>
      <c r="K41" s="4">
        <v>15833.333333333334</v>
      </c>
      <c r="L41" s="4">
        <v>2773.9166666666665</v>
      </c>
      <c r="M41" s="6">
        <v>25988.666666666668</v>
      </c>
      <c r="N41" s="23">
        <v>9</v>
      </c>
      <c r="O41" s="23">
        <v>2025</v>
      </c>
    </row>
    <row r="42" spans="1:15" x14ac:dyDescent="0.3">
      <c r="A42" s="8" t="s">
        <v>15</v>
      </c>
      <c r="B42" s="9">
        <v>1120</v>
      </c>
      <c r="C42" s="9">
        <v>0</v>
      </c>
      <c r="D42" s="10">
        <v>6153.583333333333</v>
      </c>
      <c r="E42" s="11">
        <v>0</v>
      </c>
      <c r="F42" s="9">
        <v>9693</v>
      </c>
      <c r="G42" s="9">
        <v>2057.3333333333335</v>
      </c>
      <c r="H42" s="9">
        <v>1806.6666666666667</v>
      </c>
      <c r="I42" s="4">
        <v>48682.666666666664</v>
      </c>
      <c r="J42" s="4">
        <v>3734</v>
      </c>
      <c r="K42" s="4">
        <v>15833.333333333334</v>
      </c>
      <c r="L42" s="4">
        <v>2773.9166666666665</v>
      </c>
      <c r="M42" s="6">
        <v>25988.666666666668</v>
      </c>
      <c r="N42" s="23">
        <v>9</v>
      </c>
      <c r="O42" s="23">
        <v>2025</v>
      </c>
    </row>
    <row r="43" spans="1:15" x14ac:dyDescent="0.3">
      <c r="A43" s="8" t="s">
        <v>16</v>
      </c>
      <c r="B43" s="9">
        <v>0</v>
      </c>
      <c r="C43" s="9">
        <v>0</v>
      </c>
      <c r="D43" s="10">
        <v>6153.583333333333</v>
      </c>
      <c r="E43" s="11">
        <v>0</v>
      </c>
      <c r="F43" s="9">
        <v>9693</v>
      </c>
      <c r="G43" s="9">
        <v>2057.3333333333335</v>
      </c>
      <c r="H43" s="9">
        <v>1806.6666666666667</v>
      </c>
      <c r="I43" s="4">
        <v>48682.666666666664</v>
      </c>
      <c r="J43" s="4">
        <v>3734</v>
      </c>
      <c r="K43" s="4">
        <v>15833.333333333334</v>
      </c>
      <c r="L43" s="4">
        <v>2773.9166666666665</v>
      </c>
      <c r="M43" s="6">
        <v>25988.666666666668</v>
      </c>
      <c r="N43" s="23">
        <v>9</v>
      </c>
      <c r="O43" s="23">
        <v>2025</v>
      </c>
    </row>
    <row r="44" spans="1:15" x14ac:dyDescent="0.3">
      <c r="A44" s="8" t="s">
        <v>17</v>
      </c>
      <c r="B44" s="9">
        <v>1568</v>
      </c>
      <c r="C44" s="9">
        <v>0</v>
      </c>
      <c r="D44" s="10">
        <v>6153.583333333333</v>
      </c>
      <c r="E44" s="11">
        <v>0</v>
      </c>
      <c r="F44" s="9">
        <v>9693</v>
      </c>
      <c r="G44" s="9">
        <v>2057.3333333333335</v>
      </c>
      <c r="H44" s="9">
        <v>1806.6666666666667</v>
      </c>
      <c r="I44" s="4">
        <v>48682.666666666664</v>
      </c>
      <c r="J44" s="4">
        <v>3734</v>
      </c>
      <c r="K44" s="4">
        <v>15833.333333333334</v>
      </c>
      <c r="L44" s="4">
        <v>2773.9166666666665</v>
      </c>
      <c r="M44" s="6">
        <v>25988.666666666668</v>
      </c>
      <c r="N44" s="23">
        <v>9</v>
      </c>
      <c r="O44" s="23">
        <v>2025</v>
      </c>
    </row>
    <row r="45" spans="1:15" x14ac:dyDescent="0.3">
      <c r="A45" s="8" t="s">
        <v>18</v>
      </c>
      <c r="B45" s="9">
        <v>0</v>
      </c>
      <c r="C45" s="9">
        <v>0</v>
      </c>
      <c r="D45" s="10">
        <v>6153.583333333333</v>
      </c>
      <c r="E45" s="11">
        <v>0</v>
      </c>
      <c r="F45" s="9">
        <v>9693</v>
      </c>
      <c r="G45" s="9">
        <v>2057.3333333333335</v>
      </c>
      <c r="H45" s="9">
        <v>1806.6666666666667</v>
      </c>
      <c r="I45" s="4">
        <v>48682.666666666664</v>
      </c>
      <c r="J45" s="4">
        <v>3734</v>
      </c>
      <c r="K45" s="4">
        <v>15833.333333333334</v>
      </c>
      <c r="L45" s="4">
        <v>2773.9166666666665</v>
      </c>
      <c r="M45" s="6">
        <v>25988.666666666668</v>
      </c>
      <c r="N45" s="23">
        <v>9</v>
      </c>
      <c r="O45" s="23">
        <v>2025</v>
      </c>
    </row>
    <row r="46" spans="1:15" x14ac:dyDescent="0.3">
      <c r="A46" s="8" t="s">
        <v>19</v>
      </c>
      <c r="B46" s="9">
        <v>38528</v>
      </c>
      <c r="C46" s="9">
        <v>0</v>
      </c>
      <c r="D46" s="10">
        <v>6153.583333333333</v>
      </c>
      <c r="E46" s="11">
        <v>0</v>
      </c>
      <c r="F46" s="9">
        <v>9693</v>
      </c>
      <c r="G46" s="9">
        <v>2057.3333333333335</v>
      </c>
      <c r="H46" s="9">
        <v>1806.6666666666667</v>
      </c>
      <c r="I46" s="4">
        <v>48682.666666666664</v>
      </c>
      <c r="J46" s="4">
        <v>3734</v>
      </c>
      <c r="K46" s="4">
        <v>15833.333333333334</v>
      </c>
      <c r="L46" s="4">
        <v>2773.9166666666665</v>
      </c>
      <c r="M46" s="6">
        <v>25988.666666666668</v>
      </c>
      <c r="N46" s="23">
        <v>9</v>
      </c>
      <c r="O46" s="23">
        <v>2025</v>
      </c>
    </row>
    <row r="47" spans="1:15" x14ac:dyDescent="0.3">
      <c r="A47" s="8" t="s">
        <v>20</v>
      </c>
      <c r="B47" s="9">
        <v>896</v>
      </c>
      <c r="C47" s="9">
        <v>0</v>
      </c>
      <c r="D47" s="10">
        <v>6153.583333333333</v>
      </c>
      <c r="E47" s="11">
        <v>0</v>
      </c>
      <c r="F47" s="9">
        <v>9693</v>
      </c>
      <c r="G47" s="9">
        <v>2057.3333333333335</v>
      </c>
      <c r="H47" s="9">
        <v>1806.6666666666667</v>
      </c>
      <c r="I47" s="4">
        <v>48682.666666666664</v>
      </c>
      <c r="J47" s="4">
        <v>3734</v>
      </c>
      <c r="K47" s="4">
        <v>15833.333333333334</v>
      </c>
      <c r="L47" s="4">
        <v>2773.9166666666665</v>
      </c>
      <c r="M47" s="6">
        <v>25988.666666666668</v>
      </c>
      <c r="N47" s="23">
        <v>9</v>
      </c>
      <c r="O47" s="23">
        <v>2025</v>
      </c>
    </row>
    <row r="48" spans="1:15" x14ac:dyDescent="0.3">
      <c r="A48" s="8" t="s">
        <v>21</v>
      </c>
      <c r="B48" s="9">
        <v>22176</v>
      </c>
      <c r="C48" s="9">
        <v>0</v>
      </c>
      <c r="D48" s="10">
        <v>6153.583333333333</v>
      </c>
      <c r="E48" s="11">
        <v>0</v>
      </c>
      <c r="F48" s="9">
        <v>9693</v>
      </c>
      <c r="G48" s="9">
        <v>2057.3333333333335</v>
      </c>
      <c r="H48" s="9">
        <v>1806.6666666666667</v>
      </c>
      <c r="I48" s="4">
        <v>48682.666666666664</v>
      </c>
      <c r="J48" s="4">
        <v>3734</v>
      </c>
      <c r="K48" s="4">
        <v>15833.333333333334</v>
      </c>
      <c r="L48" s="4">
        <v>2773.9166666666665</v>
      </c>
      <c r="M48" s="6">
        <v>25988.666666666668</v>
      </c>
      <c r="N48" s="23">
        <v>9</v>
      </c>
      <c r="O48" s="23">
        <v>2025</v>
      </c>
    </row>
    <row r="49" spans="1:15" x14ac:dyDescent="0.3">
      <c r="A49" s="8" t="s">
        <v>22</v>
      </c>
      <c r="B49" s="9">
        <v>0</v>
      </c>
      <c r="C49" s="9">
        <v>0</v>
      </c>
      <c r="D49" s="10">
        <v>6153.583333333333</v>
      </c>
      <c r="E49" s="11">
        <v>0</v>
      </c>
      <c r="F49" s="9">
        <v>9693</v>
      </c>
      <c r="G49" s="9">
        <v>2057.3333333333335</v>
      </c>
      <c r="H49" s="9">
        <v>1806.6666666666667</v>
      </c>
      <c r="I49" s="4">
        <v>48682.666666666664</v>
      </c>
      <c r="J49" s="4">
        <v>3734</v>
      </c>
      <c r="K49" s="4">
        <v>15833.333333333334</v>
      </c>
      <c r="L49" s="4">
        <v>2773.9166666666665</v>
      </c>
      <c r="M49" s="6">
        <v>25988.666666666668</v>
      </c>
      <c r="N49" s="23">
        <v>9</v>
      </c>
      <c r="O49" s="23">
        <v>2025</v>
      </c>
    </row>
    <row r="50" spans="1:15" x14ac:dyDescent="0.3">
      <c r="A50" s="8" t="s">
        <v>11</v>
      </c>
      <c r="B50" s="9">
        <v>18640</v>
      </c>
      <c r="C50" s="9">
        <v>5875</v>
      </c>
      <c r="D50" s="10">
        <v>0</v>
      </c>
      <c r="E50" s="11">
        <v>1870.5833333333333</v>
      </c>
      <c r="F50" s="9">
        <v>8608</v>
      </c>
      <c r="G50" s="9">
        <v>450</v>
      </c>
      <c r="H50" s="9">
        <v>1855.9166666666667</v>
      </c>
      <c r="I50" s="4">
        <v>42630.25</v>
      </c>
      <c r="J50" s="4">
        <v>0</v>
      </c>
      <c r="K50" s="4">
        <v>15833.333333333334</v>
      </c>
      <c r="L50" s="4">
        <v>0</v>
      </c>
      <c r="M50" s="6">
        <v>0</v>
      </c>
      <c r="N50" s="23">
        <v>8</v>
      </c>
      <c r="O50" s="23">
        <v>2025</v>
      </c>
    </row>
    <row r="51" spans="1:15" x14ac:dyDescent="0.3">
      <c r="A51" s="8" t="s">
        <v>12</v>
      </c>
      <c r="B51" s="9">
        <v>41474</v>
      </c>
      <c r="C51" s="9">
        <v>5875</v>
      </c>
      <c r="D51" s="10">
        <v>0</v>
      </c>
      <c r="E51" s="11">
        <v>1870.5833333333333</v>
      </c>
      <c r="F51" s="9">
        <v>8608</v>
      </c>
      <c r="G51" s="9">
        <v>450</v>
      </c>
      <c r="H51" s="9">
        <v>1855.9166666666667</v>
      </c>
      <c r="I51" s="4">
        <v>42630.25</v>
      </c>
      <c r="J51" s="4">
        <v>0</v>
      </c>
      <c r="K51" s="4">
        <v>15833.333333333334</v>
      </c>
      <c r="L51" s="4">
        <v>0</v>
      </c>
      <c r="M51" s="6">
        <v>0</v>
      </c>
      <c r="N51" s="23">
        <v>8</v>
      </c>
      <c r="O51" s="23">
        <v>2025</v>
      </c>
    </row>
    <row r="52" spans="1:15" x14ac:dyDescent="0.3">
      <c r="A52" s="8" t="s">
        <v>13</v>
      </c>
      <c r="B52" s="9">
        <v>0</v>
      </c>
      <c r="C52" s="9">
        <v>5875</v>
      </c>
      <c r="D52" s="10">
        <v>0</v>
      </c>
      <c r="E52" s="11">
        <v>1870.5833333333333</v>
      </c>
      <c r="F52" s="9">
        <v>8608</v>
      </c>
      <c r="G52" s="9">
        <v>450</v>
      </c>
      <c r="H52" s="9">
        <v>1855.9166666666667</v>
      </c>
      <c r="I52" s="4">
        <v>42630.25</v>
      </c>
      <c r="J52" s="4">
        <v>0</v>
      </c>
      <c r="K52" s="4">
        <v>15833.333333333334</v>
      </c>
      <c r="L52" s="4">
        <v>0</v>
      </c>
      <c r="M52" s="6">
        <v>0</v>
      </c>
      <c r="N52" s="23">
        <v>8</v>
      </c>
      <c r="O52" s="23">
        <v>2025</v>
      </c>
    </row>
    <row r="53" spans="1:15" x14ac:dyDescent="0.3">
      <c r="A53" s="8" t="s">
        <v>14</v>
      </c>
      <c r="B53" s="9">
        <v>1864</v>
      </c>
      <c r="C53" s="9">
        <v>5875</v>
      </c>
      <c r="D53" s="10">
        <v>0</v>
      </c>
      <c r="E53" s="11">
        <v>1870.5833333333333</v>
      </c>
      <c r="F53" s="9">
        <v>8608</v>
      </c>
      <c r="G53" s="9">
        <v>450</v>
      </c>
      <c r="H53" s="9">
        <v>1855.9166666666667</v>
      </c>
      <c r="I53" s="4">
        <v>42630.25</v>
      </c>
      <c r="J53" s="4">
        <v>0</v>
      </c>
      <c r="K53" s="4">
        <v>15833.333333333334</v>
      </c>
      <c r="L53" s="4">
        <v>0</v>
      </c>
      <c r="M53" s="6">
        <v>0</v>
      </c>
      <c r="N53" s="23">
        <v>8</v>
      </c>
      <c r="O53" s="23">
        <v>2025</v>
      </c>
    </row>
    <row r="54" spans="1:15" x14ac:dyDescent="0.3">
      <c r="A54" s="8" t="s">
        <v>15</v>
      </c>
      <c r="B54" s="9">
        <v>1864</v>
      </c>
      <c r="C54" s="9">
        <v>5875</v>
      </c>
      <c r="D54" s="10">
        <v>0</v>
      </c>
      <c r="E54" s="11">
        <v>1870.5833333333333</v>
      </c>
      <c r="F54" s="9">
        <v>8608</v>
      </c>
      <c r="G54" s="9">
        <v>450</v>
      </c>
      <c r="H54" s="9">
        <v>1855.9166666666667</v>
      </c>
      <c r="I54" s="4">
        <v>42630.25</v>
      </c>
      <c r="J54" s="4">
        <v>0</v>
      </c>
      <c r="K54" s="4">
        <v>15833.333333333334</v>
      </c>
      <c r="L54" s="4">
        <v>0</v>
      </c>
      <c r="M54" s="6">
        <v>0</v>
      </c>
      <c r="N54" s="23">
        <v>8</v>
      </c>
      <c r="O54" s="23">
        <v>2025</v>
      </c>
    </row>
    <row r="55" spans="1:15" x14ac:dyDescent="0.3">
      <c r="A55" s="8" t="s">
        <v>16</v>
      </c>
      <c r="B55" s="9">
        <v>0</v>
      </c>
      <c r="C55" s="9">
        <v>5875</v>
      </c>
      <c r="D55" s="10">
        <v>0</v>
      </c>
      <c r="E55" s="11">
        <v>1870.5833333333333</v>
      </c>
      <c r="F55" s="9">
        <v>8608</v>
      </c>
      <c r="G55" s="9">
        <v>450</v>
      </c>
      <c r="H55" s="9">
        <v>1855.9166666666667</v>
      </c>
      <c r="I55" s="4">
        <v>42630.25</v>
      </c>
      <c r="J55" s="4">
        <v>0</v>
      </c>
      <c r="K55" s="4">
        <v>15833.333333333334</v>
      </c>
      <c r="L55" s="4">
        <v>0</v>
      </c>
      <c r="M55" s="6">
        <v>0</v>
      </c>
      <c r="N55" s="23">
        <v>8</v>
      </c>
      <c r="O55" s="23">
        <v>2025</v>
      </c>
    </row>
    <row r="56" spans="1:15" x14ac:dyDescent="0.3">
      <c r="A56" s="8" t="s">
        <v>17</v>
      </c>
      <c r="B56" s="9">
        <v>51260</v>
      </c>
      <c r="C56" s="9">
        <v>5875</v>
      </c>
      <c r="D56" s="10">
        <v>0</v>
      </c>
      <c r="E56" s="11">
        <v>1870.5833333333333</v>
      </c>
      <c r="F56" s="9">
        <v>8608</v>
      </c>
      <c r="G56" s="9">
        <v>450</v>
      </c>
      <c r="H56" s="9">
        <v>1855.9166666666667</v>
      </c>
      <c r="I56" s="4">
        <v>42630.25</v>
      </c>
      <c r="J56" s="4">
        <v>0</v>
      </c>
      <c r="K56" s="4">
        <v>15833.333333333334</v>
      </c>
      <c r="L56" s="4">
        <v>0</v>
      </c>
      <c r="M56" s="6">
        <v>0</v>
      </c>
      <c r="N56" s="23">
        <v>8</v>
      </c>
      <c r="O56" s="23">
        <v>2025</v>
      </c>
    </row>
    <row r="57" spans="1:15" x14ac:dyDescent="0.3">
      <c r="A57" s="8" t="s">
        <v>18</v>
      </c>
      <c r="B57" s="9">
        <v>1864</v>
      </c>
      <c r="C57" s="9">
        <v>5875</v>
      </c>
      <c r="D57" s="10">
        <v>0</v>
      </c>
      <c r="E57" s="11">
        <v>1870.5833333333333</v>
      </c>
      <c r="F57" s="9">
        <v>8608</v>
      </c>
      <c r="G57" s="9">
        <v>450</v>
      </c>
      <c r="H57" s="9">
        <v>1855.9166666666667</v>
      </c>
      <c r="I57" s="4">
        <v>42630.25</v>
      </c>
      <c r="J57" s="4">
        <v>0</v>
      </c>
      <c r="K57" s="4">
        <v>15833.333333333334</v>
      </c>
      <c r="L57" s="4">
        <v>0</v>
      </c>
      <c r="M57" s="6">
        <v>0</v>
      </c>
      <c r="N57" s="23">
        <v>8</v>
      </c>
      <c r="O57" s="23">
        <v>2025</v>
      </c>
    </row>
    <row r="58" spans="1:15" x14ac:dyDescent="0.3">
      <c r="A58" s="8" t="s">
        <v>19</v>
      </c>
      <c r="B58" s="9">
        <v>41474</v>
      </c>
      <c r="C58" s="9">
        <v>5875</v>
      </c>
      <c r="D58" s="10">
        <v>0</v>
      </c>
      <c r="E58" s="11">
        <v>1870.5833333333333</v>
      </c>
      <c r="F58" s="9">
        <v>8608</v>
      </c>
      <c r="G58" s="9">
        <v>450</v>
      </c>
      <c r="H58" s="9">
        <v>1855.9166666666667</v>
      </c>
      <c r="I58" s="4">
        <v>42630.25</v>
      </c>
      <c r="J58" s="4">
        <v>0</v>
      </c>
      <c r="K58" s="4">
        <v>15833.333333333334</v>
      </c>
      <c r="L58" s="4">
        <v>0</v>
      </c>
      <c r="M58" s="6">
        <v>0</v>
      </c>
      <c r="N58" s="23">
        <v>8</v>
      </c>
      <c r="O58" s="23">
        <v>2025</v>
      </c>
    </row>
    <row r="59" spans="1:15" x14ac:dyDescent="0.3">
      <c r="A59" s="8" t="s">
        <v>20</v>
      </c>
      <c r="B59" s="9">
        <v>466</v>
      </c>
      <c r="C59" s="9">
        <v>5875</v>
      </c>
      <c r="D59" s="10">
        <v>0</v>
      </c>
      <c r="E59" s="11">
        <v>1870.5833333333333</v>
      </c>
      <c r="F59" s="9">
        <v>8608</v>
      </c>
      <c r="G59" s="9">
        <v>450</v>
      </c>
      <c r="H59" s="9">
        <v>1855.9166666666667</v>
      </c>
      <c r="I59" s="4">
        <v>42630.25</v>
      </c>
      <c r="J59" s="4">
        <v>0</v>
      </c>
      <c r="K59" s="4">
        <v>15833.333333333334</v>
      </c>
      <c r="L59" s="4">
        <v>0</v>
      </c>
      <c r="M59" s="6">
        <v>0</v>
      </c>
      <c r="N59" s="23">
        <v>8</v>
      </c>
      <c r="O59" s="23">
        <v>2025</v>
      </c>
    </row>
    <row r="60" spans="1:15" x14ac:dyDescent="0.3">
      <c r="A60" s="8" t="s">
        <v>21</v>
      </c>
      <c r="B60" s="9">
        <v>32620</v>
      </c>
      <c r="C60" s="9">
        <v>5875</v>
      </c>
      <c r="D60" s="10">
        <v>0</v>
      </c>
      <c r="E60" s="11">
        <v>1870.5833333333333</v>
      </c>
      <c r="F60" s="9">
        <v>8608</v>
      </c>
      <c r="G60" s="9">
        <v>450</v>
      </c>
      <c r="H60" s="9">
        <v>1855.9166666666667</v>
      </c>
      <c r="I60" s="4">
        <v>42630.25</v>
      </c>
      <c r="J60" s="4">
        <v>0</v>
      </c>
      <c r="K60" s="4">
        <v>15833.333333333334</v>
      </c>
      <c r="L60" s="4">
        <v>0</v>
      </c>
      <c r="M60" s="6">
        <v>0</v>
      </c>
      <c r="N60" s="23">
        <v>8</v>
      </c>
      <c r="O60" s="23">
        <v>2025</v>
      </c>
    </row>
    <row r="61" spans="1:15" x14ac:dyDescent="0.3">
      <c r="A61" s="8" t="s">
        <v>22</v>
      </c>
      <c r="B61" s="9">
        <v>0</v>
      </c>
      <c r="C61" s="9">
        <v>5875</v>
      </c>
      <c r="D61" s="10">
        <v>0</v>
      </c>
      <c r="E61" s="11">
        <v>1870.5833333333333</v>
      </c>
      <c r="F61" s="9">
        <v>8608</v>
      </c>
      <c r="G61" s="9">
        <v>450</v>
      </c>
      <c r="H61" s="9">
        <v>1855.9166666666667</v>
      </c>
      <c r="I61" s="4">
        <v>42630.25</v>
      </c>
      <c r="J61" s="4">
        <v>0</v>
      </c>
      <c r="K61" s="4">
        <v>15833.333333333334</v>
      </c>
      <c r="L61" s="4">
        <v>0</v>
      </c>
      <c r="M61" s="6">
        <v>0</v>
      </c>
      <c r="N61" s="23">
        <v>8</v>
      </c>
      <c r="O61" s="23">
        <v>2025</v>
      </c>
    </row>
    <row r="62" spans="1:15" x14ac:dyDescent="0.3">
      <c r="A62" s="8" t="s">
        <v>11</v>
      </c>
      <c r="B62" s="6">
        <v>8303</v>
      </c>
      <c r="C62" s="6">
        <v>5875</v>
      </c>
      <c r="D62" s="6">
        <v>0</v>
      </c>
      <c r="E62" s="6">
        <v>4042.5833333333335</v>
      </c>
      <c r="F62" s="6">
        <v>0</v>
      </c>
      <c r="G62" s="6">
        <v>2170.0833333333335</v>
      </c>
      <c r="H62" s="6">
        <v>1855.9166666666667</v>
      </c>
      <c r="I62" s="6">
        <v>43988.25</v>
      </c>
      <c r="J62" s="6">
        <v>0</v>
      </c>
      <c r="K62" s="6">
        <v>1974.3333333333333</v>
      </c>
      <c r="L62" s="6">
        <v>0</v>
      </c>
      <c r="M62" s="6">
        <v>1500</v>
      </c>
      <c r="N62" s="6">
        <v>7</v>
      </c>
      <c r="O62" s="6">
        <v>2025</v>
      </c>
    </row>
    <row r="63" spans="1:15" x14ac:dyDescent="0.3">
      <c r="A63" s="8" t="s">
        <v>12</v>
      </c>
      <c r="B63" s="6">
        <v>0</v>
      </c>
      <c r="C63" s="6">
        <v>5875</v>
      </c>
      <c r="D63" s="6">
        <v>0</v>
      </c>
      <c r="E63" s="6">
        <v>4042.5833333333335</v>
      </c>
      <c r="F63" s="6">
        <v>0</v>
      </c>
      <c r="G63" s="6">
        <v>2170.0833333333335</v>
      </c>
      <c r="H63" s="6">
        <v>1855.9166666666667</v>
      </c>
      <c r="I63" s="6">
        <v>43988.25</v>
      </c>
      <c r="J63" s="6">
        <v>0</v>
      </c>
      <c r="K63" s="6">
        <v>1974.3333333333333</v>
      </c>
      <c r="L63" s="6">
        <v>0</v>
      </c>
      <c r="M63" s="6">
        <v>1500</v>
      </c>
      <c r="N63" s="6">
        <v>7</v>
      </c>
      <c r="O63" s="6">
        <v>2025</v>
      </c>
    </row>
    <row r="64" spans="1:15" x14ac:dyDescent="0.3">
      <c r="A64" s="8" t="s">
        <v>13</v>
      </c>
      <c r="B64" s="6">
        <v>29963</v>
      </c>
      <c r="C64" s="6">
        <v>5875</v>
      </c>
      <c r="D64" s="6">
        <v>0</v>
      </c>
      <c r="E64" s="6">
        <v>4042.5833333333335</v>
      </c>
      <c r="F64" s="6">
        <v>0</v>
      </c>
      <c r="G64" s="6">
        <v>2170.0833333333335</v>
      </c>
      <c r="H64" s="6">
        <v>1855.9166666666667</v>
      </c>
      <c r="I64" s="6">
        <v>43988.25</v>
      </c>
      <c r="J64" s="6">
        <v>0</v>
      </c>
      <c r="K64" s="6">
        <v>1974.3333333333333</v>
      </c>
      <c r="L64" s="6">
        <v>0</v>
      </c>
      <c r="M64" s="6">
        <v>1500</v>
      </c>
      <c r="N64" s="6">
        <v>7</v>
      </c>
      <c r="O64" s="6">
        <v>2025</v>
      </c>
    </row>
    <row r="65" spans="1:15" x14ac:dyDescent="0.3">
      <c r="A65" s="8" t="s">
        <v>14</v>
      </c>
      <c r="B65" s="6">
        <v>1444</v>
      </c>
      <c r="C65" s="6">
        <v>5875</v>
      </c>
      <c r="D65" s="6">
        <v>0</v>
      </c>
      <c r="E65" s="6">
        <v>4042.5833333333335</v>
      </c>
      <c r="F65" s="6">
        <v>0</v>
      </c>
      <c r="G65" s="6">
        <v>2170.0833333333335</v>
      </c>
      <c r="H65" s="6">
        <v>1855.9166666666667</v>
      </c>
      <c r="I65" s="6">
        <v>43988.25</v>
      </c>
      <c r="J65" s="6">
        <v>0</v>
      </c>
      <c r="K65" s="6">
        <v>1974.3333333333333</v>
      </c>
      <c r="L65" s="6">
        <v>0</v>
      </c>
      <c r="M65" s="6">
        <v>1500</v>
      </c>
      <c r="N65" s="6">
        <v>7</v>
      </c>
      <c r="O65" s="6">
        <v>2025</v>
      </c>
    </row>
    <row r="66" spans="1:15" x14ac:dyDescent="0.3">
      <c r="A66" s="8" t="s">
        <v>15</v>
      </c>
      <c r="B66" s="6">
        <v>1444</v>
      </c>
      <c r="C66" s="6">
        <v>5875</v>
      </c>
      <c r="D66" s="6">
        <v>0</v>
      </c>
      <c r="E66" s="6">
        <v>4042.5833333333335</v>
      </c>
      <c r="F66" s="6">
        <v>0</v>
      </c>
      <c r="G66" s="6">
        <v>2170.0833333333335</v>
      </c>
      <c r="H66" s="6">
        <v>1855.9166666666667</v>
      </c>
      <c r="I66" s="6">
        <v>43988.25</v>
      </c>
      <c r="J66" s="6">
        <v>0</v>
      </c>
      <c r="K66" s="6">
        <v>1974.3333333333333</v>
      </c>
      <c r="L66" s="6">
        <v>0</v>
      </c>
      <c r="M66" s="6">
        <v>1500</v>
      </c>
      <c r="N66" s="6">
        <v>7</v>
      </c>
      <c r="O66" s="6">
        <v>2025</v>
      </c>
    </row>
    <row r="67" spans="1:15" x14ac:dyDescent="0.3">
      <c r="A67" s="8" t="s">
        <v>16</v>
      </c>
      <c r="B67" s="6">
        <v>0</v>
      </c>
      <c r="C67" s="6">
        <v>5875</v>
      </c>
      <c r="D67" s="6">
        <v>0</v>
      </c>
      <c r="E67" s="6">
        <v>4042.5833333333335</v>
      </c>
      <c r="F67" s="6">
        <v>0</v>
      </c>
      <c r="G67" s="6">
        <v>2170.0833333333335</v>
      </c>
      <c r="H67" s="6">
        <v>1855.9166666666667</v>
      </c>
      <c r="I67" s="6">
        <v>43988.25</v>
      </c>
      <c r="J67" s="6">
        <v>0</v>
      </c>
      <c r="K67" s="6">
        <v>1974.3333333333333</v>
      </c>
      <c r="L67" s="6">
        <v>0</v>
      </c>
      <c r="M67" s="6">
        <v>1500</v>
      </c>
      <c r="N67" s="6">
        <v>7</v>
      </c>
      <c r="O67" s="6">
        <v>2025</v>
      </c>
    </row>
    <row r="68" spans="1:15" x14ac:dyDescent="0.3">
      <c r="A68" s="8" t="s">
        <v>17</v>
      </c>
      <c r="B68" s="6">
        <v>3610</v>
      </c>
      <c r="C68" s="6">
        <v>5875</v>
      </c>
      <c r="D68" s="6">
        <v>0</v>
      </c>
      <c r="E68" s="6">
        <v>4042.5833333333335</v>
      </c>
      <c r="F68" s="6">
        <v>0</v>
      </c>
      <c r="G68" s="6">
        <v>2170.0833333333335</v>
      </c>
      <c r="H68" s="6">
        <v>1855.9166666666667</v>
      </c>
      <c r="I68" s="6">
        <v>43988.25</v>
      </c>
      <c r="J68" s="6">
        <v>0</v>
      </c>
      <c r="K68" s="6">
        <v>1974.3333333333333</v>
      </c>
      <c r="L68" s="6">
        <v>0</v>
      </c>
      <c r="M68" s="6">
        <v>1500</v>
      </c>
      <c r="N68" s="6">
        <v>7</v>
      </c>
      <c r="O68" s="6">
        <v>2025</v>
      </c>
    </row>
    <row r="69" spans="1:15" x14ac:dyDescent="0.3">
      <c r="A69" s="8" t="s">
        <v>18</v>
      </c>
      <c r="B69" s="6">
        <v>1083</v>
      </c>
      <c r="C69" s="6">
        <v>5875</v>
      </c>
      <c r="D69" s="6">
        <v>0</v>
      </c>
      <c r="E69" s="6">
        <v>4042.5833333333335</v>
      </c>
      <c r="F69" s="6">
        <v>0</v>
      </c>
      <c r="G69" s="6">
        <v>2170.0833333333335</v>
      </c>
      <c r="H69" s="6">
        <v>1855.9166666666667</v>
      </c>
      <c r="I69" s="6">
        <v>43988.25</v>
      </c>
      <c r="J69" s="6">
        <v>0</v>
      </c>
      <c r="K69" s="6">
        <v>1974.3333333333333</v>
      </c>
      <c r="L69" s="6">
        <v>0</v>
      </c>
      <c r="M69" s="6">
        <v>1500</v>
      </c>
      <c r="N69" s="6">
        <v>7</v>
      </c>
      <c r="O69" s="6">
        <v>2025</v>
      </c>
    </row>
    <row r="70" spans="1:15" x14ac:dyDescent="0.3">
      <c r="A70" s="8" t="s">
        <v>19</v>
      </c>
      <c r="B70" s="6">
        <v>42959</v>
      </c>
      <c r="C70" s="6">
        <v>5875</v>
      </c>
      <c r="D70" s="6">
        <v>0</v>
      </c>
      <c r="E70" s="6">
        <v>4042.5833333333335</v>
      </c>
      <c r="F70" s="6">
        <v>0</v>
      </c>
      <c r="G70" s="6">
        <v>2170.0833333333335</v>
      </c>
      <c r="H70" s="6">
        <v>1855.9166666666667</v>
      </c>
      <c r="I70" s="6">
        <v>43988.25</v>
      </c>
      <c r="J70" s="6">
        <v>0</v>
      </c>
      <c r="K70" s="6">
        <v>1974.3333333333333</v>
      </c>
      <c r="L70" s="6">
        <v>0</v>
      </c>
      <c r="M70" s="6">
        <v>1500</v>
      </c>
      <c r="N70" s="6">
        <v>7</v>
      </c>
      <c r="O70" s="6">
        <v>2025</v>
      </c>
    </row>
    <row r="71" spans="1:15" x14ac:dyDescent="0.3">
      <c r="A71" s="8" t="s">
        <v>20</v>
      </c>
      <c r="B71" s="6">
        <v>361</v>
      </c>
      <c r="C71" s="6">
        <v>5875</v>
      </c>
      <c r="D71" s="6">
        <v>0</v>
      </c>
      <c r="E71" s="6">
        <v>4042.5833333333335</v>
      </c>
      <c r="F71" s="6">
        <v>0</v>
      </c>
      <c r="G71" s="6">
        <v>2170.0833333333335</v>
      </c>
      <c r="H71" s="6">
        <v>1855.9166666666667</v>
      </c>
      <c r="I71" s="6">
        <v>43988.25</v>
      </c>
      <c r="J71" s="6">
        <v>0</v>
      </c>
      <c r="K71" s="6">
        <v>1974.3333333333333</v>
      </c>
      <c r="L71" s="6">
        <v>0</v>
      </c>
      <c r="M71" s="6">
        <v>1500</v>
      </c>
      <c r="N71" s="6">
        <v>7</v>
      </c>
      <c r="O71" s="6">
        <v>2025</v>
      </c>
    </row>
    <row r="72" spans="1:15" x14ac:dyDescent="0.3">
      <c r="A72" s="8" t="s">
        <v>21</v>
      </c>
      <c r="B72" s="6">
        <v>26353</v>
      </c>
      <c r="C72" s="6">
        <v>5875</v>
      </c>
      <c r="D72" s="6">
        <v>0</v>
      </c>
      <c r="E72" s="6">
        <v>4042.5833333333335</v>
      </c>
      <c r="F72" s="6">
        <v>0</v>
      </c>
      <c r="G72" s="6">
        <v>2170.0833333333335</v>
      </c>
      <c r="H72" s="6">
        <v>1855.9166666666667</v>
      </c>
      <c r="I72" s="6">
        <v>43988.25</v>
      </c>
      <c r="J72" s="6">
        <v>0</v>
      </c>
      <c r="K72" s="6">
        <v>1974.3333333333333</v>
      </c>
      <c r="L72" s="6">
        <v>0</v>
      </c>
      <c r="M72" s="6">
        <v>1500</v>
      </c>
      <c r="N72" s="6">
        <v>7</v>
      </c>
      <c r="O72" s="6">
        <v>2025</v>
      </c>
    </row>
    <row r="73" spans="1:15" x14ac:dyDescent="0.3">
      <c r="A73" s="8" t="s">
        <v>22</v>
      </c>
      <c r="B73" s="6">
        <v>0</v>
      </c>
      <c r="C73" s="6">
        <v>5875</v>
      </c>
      <c r="D73" s="6">
        <v>0</v>
      </c>
      <c r="E73" s="6">
        <v>4042.5833333333335</v>
      </c>
      <c r="F73" s="6">
        <v>0</v>
      </c>
      <c r="G73" s="6">
        <v>2170.0833333333335</v>
      </c>
      <c r="H73" s="6">
        <v>1855.9166666666667</v>
      </c>
      <c r="I73" s="6">
        <v>43988.25</v>
      </c>
      <c r="J73" s="6">
        <v>0</v>
      </c>
      <c r="K73" s="6">
        <v>1974.3333333333333</v>
      </c>
      <c r="L73" s="6">
        <v>0</v>
      </c>
      <c r="M73" s="6">
        <v>1500</v>
      </c>
      <c r="N73" s="6">
        <v>7</v>
      </c>
      <c r="O73" s="6">
        <v>2025</v>
      </c>
    </row>
    <row r="74" spans="1:15" x14ac:dyDescent="0.3">
      <c r="A74" s="8" t="s">
        <v>11</v>
      </c>
      <c r="B74" s="9">
        <v>8420</v>
      </c>
      <c r="C74" s="9">
        <v>6116.666666666667</v>
      </c>
      <c r="D74" s="10">
        <v>0</v>
      </c>
      <c r="E74" s="11">
        <v>0</v>
      </c>
      <c r="F74" s="9">
        <v>7208.083333333333</v>
      </c>
      <c r="G74" s="9">
        <v>450</v>
      </c>
      <c r="H74" s="9">
        <v>1918.4166666666667</v>
      </c>
      <c r="I74" s="4">
        <v>35834.416666666664</v>
      </c>
      <c r="J74" s="4">
        <v>4192.75</v>
      </c>
      <c r="K74" s="4">
        <v>53518.416666666664</v>
      </c>
      <c r="L74" s="4">
        <v>2958.3333333333335</v>
      </c>
      <c r="M74" s="6">
        <v>0</v>
      </c>
      <c r="N74" s="22">
        <v>6</v>
      </c>
      <c r="O74" s="22">
        <v>2025</v>
      </c>
    </row>
    <row r="75" spans="1:15" x14ac:dyDescent="0.3">
      <c r="A75" s="8" t="s">
        <v>12</v>
      </c>
      <c r="B75" s="9">
        <v>4210</v>
      </c>
      <c r="C75" s="9">
        <v>6116.666666666667</v>
      </c>
      <c r="D75" s="10">
        <v>0</v>
      </c>
      <c r="E75" s="11">
        <v>0</v>
      </c>
      <c r="F75" s="9">
        <v>7208.083333333333</v>
      </c>
      <c r="G75" s="9">
        <v>450</v>
      </c>
      <c r="H75" s="9">
        <v>1918.4166666666667</v>
      </c>
      <c r="I75" s="4">
        <v>35834.416666666664</v>
      </c>
      <c r="J75" s="4">
        <v>4192.75</v>
      </c>
      <c r="K75" s="4">
        <v>53518.416666666664</v>
      </c>
      <c r="L75" s="4">
        <v>2958.3333333333335</v>
      </c>
      <c r="M75" s="6">
        <v>0</v>
      </c>
      <c r="N75" s="22">
        <v>6</v>
      </c>
      <c r="O75" s="22">
        <v>2025</v>
      </c>
    </row>
    <row r="76" spans="1:15" x14ac:dyDescent="0.3">
      <c r="A76" s="8" t="s">
        <v>13</v>
      </c>
      <c r="B76" s="9">
        <v>34522</v>
      </c>
      <c r="C76" s="9">
        <v>6116.666666666667</v>
      </c>
      <c r="D76" s="10">
        <v>0</v>
      </c>
      <c r="E76" s="11">
        <v>0</v>
      </c>
      <c r="F76" s="9">
        <v>7208.083333333333</v>
      </c>
      <c r="G76" s="9">
        <v>450</v>
      </c>
      <c r="H76" s="9">
        <v>1918.4166666666667</v>
      </c>
      <c r="I76" s="4">
        <v>35834.416666666664</v>
      </c>
      <c r="J76" s="4">
        <v>4192.75</v>
      </c>
      <c r="K76" s="4">
        <v>53518.416666666664</v>
      </c>
      <c r="L76" s="4">
        <v>2958.3333333333335</v>
      </c>
      <c r="M76" s="6">
        <v>0</v>
      </c>
      <c r="N76" s="22">
        <v>6</v>
      </c>
      <c r="O76" s="22">
        <v>2025</v>
      </c>
    </row>
    <row r="77" spans="1:15" x14ac:dyDescent="0.3">
      <c r="A77" s="8" t="s">
        <v>14</v>
      </c>
      <c r="B77" s="9">
        <v>1684</v>
      </c>
      <c r="C77" s="9">
        <v>6116.666666666667</v>
      </c>
      <c r="D77" s="10">
        <v>0</v>
      </c>
      <c r="E77" s="11">
        <v>0</v>
      </c>
      <c r="F77" s="9">
        <v>7208.083333333333</v>
      </c>
      <c r="G77" s="9">
        <v>450</v>
      </c>
      <c r="H77" s="9">
        <v>1918.4166666666667</v>
      </c>
      <c r="I77" s="4">
        <v>35834.416666666664</v>
      </c>
      <c r="J77" s="4">
        <v>4192.75</v>
      </c>
      <c r="K77" s="4">
        <v>53518.416666666664</v>
      </c>
      <c r="L77" s="4">
        <v>2958.3333333333335</v>
      </c>
      <c r="M77" s="6">
        <v>0</v>
      </c>
      <c r="N77" s="22">
        <v>6</v>
      </c>
      <c r="O77" s="22">
        <v>2025</v>
      </c>
    </row>
    <row r="78" spans="1:15" x14ac:dyDescent="0.3">
      <c r="A78" s="8" t="s">
        <v>15</v>
      </c>
      <c r="B78" s="9">
        <v>2105</v>
      </c>
      <c r="C78" s="9">
        <v>6116.666666666667</v>
      </c>
      <c r="D78" s="10">
        <v>0</v>
      </c>
      <c r="E78" s="11">
        <v>0</v>
      </c>
      <c r="F78" s="9">
        <v>7208.083333333333</v>
      </c>
      <c r="G78" s="9">
        <v>450</v>
      </c>
      <c r="H78" s="9">
        <v>1918.4166666666667</v>
      </c>
      <c r="I78" s="4">
        <v>35834.416666666664</v>
      </c>
      <c r="J78" s="4">
        <v>4192.75</v>
      </c>
      <c r="K78" s="4">
        <v>53518.416666666664</v>
      </c>
      <c r="L78" s="4">
        <v>2958.3333333333335</v>
      </c>
      <c r="M78" s="6">
        <v>0</v>
      </c>
      <c r="N78" s="22">
        <v>6</v>
      </c>
      <c r="O78" s="22">
        <v>2025</v>
      </c>
    </row>
    <row r="79" spans="1:15" x14ac:dyDescent="0.3">
      <c r="A79" s="8" t="s">
        <v>16</v>
      </c>
      <c r="B79" s="9">
        <v>0</v>
      </c>
      <c r="C79" s="9">
        <v>6116.666666666667</v>
      </c>
      <c r="D79" s="10">
        <v>0</v>
      </c>
      <c r="E79" s="11">
        <v>0</v>
      </c>
      <c r="F79" s="9">
        <v>7208.083333333333</v>
      </c>
      <c r="G79" s="9">
        <v>450</v>
      </c>
      <c r="H79" s="9">
        <v>1918.4166666666667</v>
      </c>
      <c r="I79" s="4">
        <v>35834.416666666664</v>
      </c>
      <c r="J79" s="4">
        <v>4192.75</v>
      </c>
      <c r="K79" s="4">
        <v>53518.416666666664</v>
      </c>
      <c r="L79" s="4">
        <v>2958.3333333333335</v>
      </c>
      <c r="M79" s="6">
        <v>0</v>
      </c>
      <c r="N79" s="22">
        <v>6</v>
      </c>
      <c r="O79" s="22">
        <v>2025</v>
      </c>
    </row>
    <row r="80" spans="1:15" x14ac:dyDescent="0.3">
      <c r="A80" s="8" t="s">
        <v>17</v>
      </c>
      <c r="B80" s="9">
        <v>2105</v>
      </c>
      <c r="C80" s="9">
        <v>6116.666666666667</v>
      </c>
      <c r="D80" s="10">
        <v>0</v>
      </c>
      <c r="E80" s="11">
        <v>0</v>
      </c>
      <c r="F80" s="9">
        <v>7208.083333333333</v>
      </c>
      <c r="G80" s="9">
        <v>450</v>
      </c>
      <c r="H80" s="9">
        <v>1918.4166666666667</v>
      </c>
      <c r="I80" s="4">
        <v>35834.416666666664</v>
      </c>
      <c r="J80" s="4">
        <v>4192.75</v>
      </c>
      <c r="K80" s="4">
        <v>53518.416666666664</v>
      </c>
      <c r="L80" s="4">
        <v>2958.3333333333335</v>
      </c>
      <c r="M80" s="6">
        <v>0</v>
      </c>
      <c r="N80" s="22">
        <v>6</v>
      </c>
      <c r="O80" s="22">
        <v>2025</v>
      </c>
    </row>
    <row r="81" spans="1:15" x14ac:dyDescent="0.3">
      <c r="A81" s="8" t="s">
        <v>18</v>
      </c>
      <c r="B81" s="9">
        <v>421</v>
      </c>
      <c r="C81" s="9">
        <v>6116.666666666667</v>
      </c>
      <c r="D81" s="10">
        <v>0</v>
      </c>
      <c r="E81" s="11">
        <v>0</v>
      </c>
      <c r="F81" s="9">
        <v>7208.083333333333</v>
      </c>
      <c r="G81" s="9">
        <v>450</v>
      </c>
      <c r="H81" s="9">
        <v>1918.4166666666667</v>
      </c>
      <c r="I81" s="4">
        <v>35834.416666666664</v>
      </c>
      <c r="J81" s="4">
        <v>4192.75</v>
      </c>
      <c r="K81" s="4">
        <v>53518.416666666664</v>
      </c>
      <c r="L81" s="4">
        <v>2958.3333333333335</v>
      </c>
      <c r="M81" s="6">
        <v>0</v>
      </c>
      <c r="N81" s="22">
        <v>6</v>
      </c>
      <c r="O81" s="22">
        <v>2025</v>
      </c>
    </row>
    <row r="82" spans="1:15" x14ac:dyDescent="0.3">
      <c r="A82" s="8" t="s">
        <v>19</v>
      </c>
      <c r="B82" s="9">
        <v>39995</v>
      </c>
      <c r="C82" s="9">
        <v>6116.666666666667</v>
      </c>
      <c r="D82" s="10">
        <v>0</v>
      </c>
      <c r="E82" s="11">
        <v>0</v>
      </c>
      <c r="F82" s="9">
        <v>7208.083333333333</v>
      </c>
      <c r="G82" s="9">
        <v>450</v>
      </c>
      <c r="H82" s="9">
        <v>1918.4166666666667</v>
      </c>
      <c r="I82" s="4">
        <v>35834.416666666664</v>
      </c>
      <c r="J82" s="4">
        <v>4192.75</v>
      </c>
      <c r="K82" s="4">
        <v>53518.416666666664</v>
      </c>
      <c r="L82" s="4">
        <v>2958.3333333333335</v>
      </c>
      <c r="M82" s="6">
        <v>0</v>
      </c>
      <c r="N82" s="22">
        <v>6</v>
      </c>
      <c r="O82" s="22">
        <v>2025</v>
      </c>
    </row>
    <row r="83" spans="1:15" x14ac:dyDescent="0.3">
      <c r="A83" s="8" t="s">
        <v>20</v>
      </c>
      <c r="B83" s="9">
        <v>421</v>
      </c>
      <c r="C83" s="9">
        <v>6116.666666666667</v>
      </c>
      <c r="D83" s="10">
        <v>0</v>
      </c>
      <c r="E83" s="11">
        <v>0</v>
      </c>
      <c r="F83" s="9">
        <v>7208.083333333333</v>
      </c>
      <c r="G83" s="9">
        <v>450</v>
      </c>
      <c r="H83" s="9">
        <v>1918.4166666666667</v>
      </c>
      <c r="I83" s="4">
        <v>35834.416666666664</v>
      </c>
      <c r="J83" s="4">
        <v>4192.75</v>
      </c>
      <c r="K83" s="4">
        <v>53518.416666666664</v>
      </c>
      <c r="L83" s="4">
        <v>2958.3333333333335</v>
      </c>
      <c r="M83" s="6">
        <v>0</v>
      </c>
      <c r="N83" s="22">
        <v>6</v>
      </c>
      <c r="O83" s="22">
        <v>2025</v>
      </c>
    </row>
    <row r="84" spans="1:15" x14ac:dyDescent="0.3">
      <c r="A84" s="8" t="s">
        <v>21</v>
      </c>
      <c r="B84" s="9">
        <v>31996</v>
      </c>
      <c r="C84" s="9">
        <v>6116.666666666667</v>
      </c>
      <c r="D84" s="10">
        <v>0</v>
      </c>
      <c r="E84" s="11">
        <v>0</v>
      </c>
      <c r="F84" s="9">
        <v>7208.083333333333</v>
      </c>
      <c r="G84" s="9">
        <v>450</v>
      </c>
      <c r="H84" s="9">
        <v>1918.4166666666667</v>
      </c>
      <c r="I84" s="4">
        <v>35834.416666666664</v>
      </c>
      <c r="J84" s="4">
        <v>4192.75</v>
      </c>
      <c r="K84" s="4">
        <v>53518.416666666664</v>
      </c>
      <c r="L84" s="4">
        <v>2958.3333333333335</v>
      </c>
      <c r="M84" s="6">
        <v>0</v>
      </c>
      <c r="N84" s="22">
        <v>6</v>
      </c>
      <c r="O84" s="22">
        <v>2025</v>
      </c>
    </row>
    <row r="85" spans="1:15" x14ac:dyDescent="0.3">
      <c r="A85" s="8" t="s">
        <v>22</v>
      </c>
      <c r="B85" s="9">
        <v>0</v>
      </c>
      <c r="C85" s="9">
        <v>6116.666666666667</v>
      </c>
      <c r="D85" s="10">
        <v>0</v>
      </c>
      <c r="E85" s="11">
        <v>0</v>
      </c>
      <c r="F85" s="9">
        <v>7208.083333333333</v>
      </c>
      <c r="G85" s="9">
        <v>450</v>
      </c>
      <c r="H85" s="9">
        <v>1918.4166666666667</v>
      </c>
      <c r="I85" s="4">
        <v>35834.416666666664</v>
      </c>
      <c r="J85" s="4">
        <v>4192.75</v>
      </c>
      <c r="K85" s="4">
        <v>53518.416666666664</v>
      </c>
      <c r="L85" s="4">
        <v>2958.3333333333335</v>
      </c>
      <c r="M85" s="6">
        <v>0</v>
      </c>
      <c r="N85" s="22">
        <v>6</v>
      </c>
      <c r="O85" s="22">
        <v>2025</v>
      </c>
    </row>
    <row r="86" spans="1:15" x14ac:dyDescent="0.3">
      <c r="A86" s="8" t="s">
        <v>11</v>
      </c>
      <c r="B86" s="6">
        <v>29391</v>
      </c>
      <c r="C86" s="6">
        <v>12246.333333333334</v>
      </c>
      <c r="D86" s="6">
        <v>0</v>
      </c>
      <c r="E86" s="6">
        <v>0</v>
      </c>
      <c r="F86" s="6">
        <v>1247.1666666666667</v>
      </c>
      <c r="G86" s="6">
        <v>7791.666666666667</v>
      </c>
      <c r="H86" s="6">
        <v>1805.5</v>
      </c>
      <c r="I86" s="6">
        <v>35589.75</v>
      </c>
      <c r="J86" s="6">
        <v>0</v>
      </c>
      <c r="K86" s="6">
        <v>44036.75</v>
      </c>
      <c r="L86" s="6">
        <v>0</v>
      </c>
      <c r="M86" s="6">
        <v>9540.25</v>
      </c>
      <c r="N86" s="22">
        <v>5</v>
      </c>
      <c r="O86" s="22">
        <v>2025</v>
      </c>
    </row>
    <row r="87" spans="1:15" x14ac:dyDescent="0.3">
      <c r="A87" s="8" t="s">
        <v>12</v>
      </c>
      <c r="B87" s="6">
        <v>5820</v>
      </c>
      <c r="C87" s="6">
        <v>12246.333333333334</v>
      </c>
      <c r="D87" s="6">
        <v>0</v>
      </c>
      <c r="E87" s="6">
        <v>0</v>
      </c>
      <c r="F87" s="6">
        <v>1247.1666666666667</v>
      </c>
      <c r="G87" s="6">
        <v>7791.666666666667</v>
      </c>
      <c r="H87" s="6">
        <v>1805.5</v>
      </c>
      <c r="I87" s="6">
        <v>35589.75</v>
      </c>
      <c r="J87" s="6">
        <v>0</v>
      </c>
      <c r="K87" s="6">
        <v>44036.75</v>
      </c>
      <c r="L87" s="6">
        <v>0</v>
      </c>
      <c r="M87" s="6">
        <v>9540.25</v>
      </c>
      <c r="N87" s="22">
        <v>5</v>
      </c>
      <c r="O87" s="22">
        <v>2025</v>
      </c>
    </row>
    <row r="88" spans="1:15" x14ac:dyDescent="0.3">
      <c r="A88" s="8" t="s">
        <v>13</v>
      </c>
      <c r="B88" s="6">
        <v>36084</v>
      </c>
      <c r="C88" s="6">
        <v>12246.333333333334</v>
      </c>
      <c r="D88" s="6">
        <v>0</v>
      </c>
      <c r="E88" s="6">
        <v>0</v>
      </c>
      <c r="F88" s="6">
        <v>1247.1666666666667</v>
      </c>
      <c r="G88" s="6">
        <v>7791.666666666667</v>
      </c>
      <c r="H88" s="6">
        <v>1805.5</v>
      </c>
      <c r="I88" s="6">
        <v>35589.75</v>
      </c>
      <c r="J88" s="6">
        <v>0</v>
      </c>
      <c r="K88" s="6">
        <v>44036.75</v>
      </c>
      <c r="L88" s="6">
        <v>0</v>
      </c>
      <c r="M88" s="6">
        <v>9540.25</v>
      </c>
      <c r="N88" s="22">
        <v>5</v>
      </c>
      <c r="O88" s="22">
        <v>2025</v>
      </c>
    </row>
    <row r="89" spans="1:15" x14ac:dyDescent="0.3">
      <c r="A89" s="8" t="s">
        <v>14</v>
      </c>
      <c r="B89" s="6">
        <v>1746</v>
      </c>
      <c r="C89" s="6">
        <v>12246.333333333334</v>
      </c>
      <c r="D89" s="6">
        <v>0</v>
      </c>
      <c r="E89" s="6">
        <v>0</v>
      </c>
      <c r="F89" s="6">
        <v>1247.1666666666667</v>
      </c>
      <c r="G89" s="6">
        <v>7791.666666666667</v>
      </c>
      <c r="H89" s="6">
        <v>1805.5</v>
      </c>
      <c r="I89" s="6">
        <v>35589.75</v>
      </c>
      <c r="J89" s="6">
        <v>0</v>
      </c>
      <c r="K89" s="6">
        <v>44036.75</v>
      </c>
      <c r="L89" s="6">
        <v>0</v>
      </c>
      <c r="M89" s="6">
        <v>9540.25</v>
      </c>
      <c r="N89" s="22">
        <v>5</v>
      </c>
      <c r="O89" s="22">
        <v>2025</v>
      </c>
    </row>
    <row r="90" spans="1:15" x14ac:dyDescent="0.3">
      <c r="A90" s="8" t="s">
        <v>15</v>
      </c>
      <c r="B90" s="6">
        <v>873</v>
      </c>
      <c r="C90" s="6">
        <v>12246.333333333334</v>
      </c>
      <c r="D90" s="6">
        <v>0</v>
      </c>
      <c r="E90" s="6">
        <v>0</v>
      </c>
      <c r="F90" s="6">
        <v>1247.1666666666667</v>
      </c>
      <c r="G90" s="6">
        <v>7791.666666666667</v>
      </c>
      <c r="H90" s="6">
        <v>1805.5</v>
      </c>
      <c r="I90" s="6">
        <v>35589.75</v>
      </c>
      <c r="J90" s="6">
        <v>0</v>
      </c>
      <c r="K90" s="6">
        <v>44036.75</v>
      </c>
      <c r="L90" s="6">
        <v>0</v>
      </c>
      <c r="M90" s="6">
        <v>9540.25</v>
      </c>
      <c r="N90" s="22">
        <v>5</v>
      </c>
      <c r="O90" s="22">
        <v>2025</v>
      </c>
    </row>
    <row r="91" spans="1:15" x14ac:dyDescent="0.3">
      <c r="A91" s="8" t="s">
        <v>16</v>
      </c>
      <c r="B91" s="6">
        <v>0</v>
      </c>
      <c r="C91" s="6">
        <v>12246.333333333334</v>
      </c>
      <c r="D91" s="6">
        <v>0</v>
      </c>
      <c r="E91" s="6">
        <v>0</v>
      </c>
      <c r="F91" s="6">
        <v>1247.1666666666667</v>
      </c>
      <c r="G91" s="6">
        <v>7791.666666666667</v>
      </c>
      <c r="H91" s="6">
        <v>1805.5</v>
      </c>
      <c r="I91" s="6">
        <v>35589.75</v>
      </c>
      <c r="J91" s="6">
        <v>0</v>
      </c>
      <c r="K91" s="6">
        <v>44036.75</v>
      </c>
      <c r="L91" s="6">
        <v>0</v>
      </c>
      <c r="M91" s="6">
        <v>9540.25</v>
      </c>
      <c r="N91" s="22">
        <v>5</v>
      </c>
      <c r="O91" s="22">
        <v>2025</v>
      </c>
    </row>
    <row r="92" spans="1:15" x14ac:dyDescent="0.3">
      <c r="A92" s="8" t="s">
        <v>17</v>
      </c>
      <c r="B92" s="6">
        <v>2328</v>
      </c>
      <c r="C92" s="6">
        <v>12246.333333333334</v>
      </c>
      <c r="D92" s="6">
        <v>0</v>
      </c>
      <c r="E92" s="6">
        <v>0</v>
      </c>
      <c r="F92" s="6">
        <v>1247.1666666666667</v>
      </c>
      <c r="G92" s="6">
        <v>7791.666666666667</v>
      </c>
      <c r="H92" s="6">
        <v>1805.5</v>
      </c>
      <c r="I92" s="6">
        <v>35589.75</v>
      </c>
      <c r="J92" s="6">
        <v>0</v>
      </c>
      <c r="K92" s="6">
        <v>44036.75</v>
      </c>
      <c r="L92" s="6">
        <v>0</v>
      </c>
      <c r="M92" s="6">
        <v>9540.25</v>
      </c>
      <c r="N92" s="22">
        <v>5</v>
      </c>
      <c r="O92" s="22">
        <v>2025</v>
      </c>
    </row>
    <row r="93" spans="1:15" x14ac:dyDescent="0.3">
      <c r="A93" s="8" t="s">
        <v>18</v>
      </c>
      <c r="B93" s="6">
        <v>291</v>
      </c>
      <c r="C93" s="6">
        <v>12246.333333333334</v>
      </c>
      <c r="D93" s="6">
        <v>0</v>
      </c>
      <c r="E93" s="6">
        <v>0</v>
      </c>
      <c r="F93" s="6">
        <v>1247.1666666666667</v>
      </c>
      <c r="G93" s="6">
        <v>7791.666666666667</v>
      </c>
      <c r="H93" s="6">
        <v>1805.5</v>
      </c>
      <c r="I93" s="6">
        <v>35589.75</v>
      </c>
      <c r="J93" s="6">
        <v>0</v>
      </c>
      <c r="K93" s="6">
        <v>44036.75</v>
      </c>
      <c r="L93" s="6">
        <v>0</v>
      </c>
      <c r="M93" s="6">
        <v>9540.25</v>
      </c>
      <c r="N93" s="22">
        <v>5</v>
      </c>
      <c r="O93" s="22">
        <v>2025</v>
      </c>
    </row>
    <row r="94" spans="1:15" x14ac:dyDescent="0.3">
      <c r="A94" s="8" t="s">
        <v>19</v>
      </c>
      <c r="B94" s="6">
        <v>41322</v>
      </c>
      <c r="C94" s="6">
        <v>12246.333333333334</v>
      </c>
      <c r="D94" s="6">
        <v>0</v>
      </c>
      <c r="E94" s="6">
        <v>0</v>
      </c>
      <c r="F94" s="6">
        <v>1247.1666666666667</v>
      </c>
      <c r="G94" s="6">
        <v>7791.666666666667</v>
      </c>
      <c r="H94" s="6">
        <v>1805.5</v>
      </c>
      <c r="I94" s="6">
        <v>35589.75</v>
      </c>
      <c r="J94" s="6">
        <v>0</v>
      </c>
      <c r="K94" s="6">
        <v>44036.75</v>
      </c>
      <c r="L94" s="6">
        <v>0</v>
      </c>
      <c r="M94" s="6">
        <v>9540.25</v>
      </c>
      <c r="N94" s="22">
        <v>5</v>
      </c>
      <c r="O94" s="22">
        <v>2025</v>
      </c>
    </row>
    <row r="95" spans="1:15" x14ac:dyDescent="0.3">
      <c r="A95" s="8" t="s">
        <v>20</v>
      </c>
      <c r="B95" s="6">
        <v>0</v>
      </c>
      <c r="C95" s="6">
        <v>12246.333333333334</v>
      </c>
      <c r="D95" s="6">
        <v>0</v>
      </c>
      <c r="E95" s="6">
        <v>0</v>
      </c>
      <c r="F95" s="6">
        <v>1247.1666666666667</v>
      </c>
      <c r="G95" s="6">
        <v>7791.666666666667</v>
      </c>
      <c r="H95" s="6">
        <v>1805.5</v>
      </c>
      <c r="I95" s="6">
        <v>35589.75</v>
      </c>
      <c r="J95" s="6">
        <v>0</v>
      </c>
      <c r="K95" s="6">
        <v>44036.75</v>
      </c>
      <c r="L95" s="6">
        <v>0</v>
      </c>
      <c r="M95" s="6">
        <v>9540.25</v>
      </c>
      <c r="N95" s="22">
        <v>5</v>
      </c>
      <c r="O95" s="22">
        <v>2025</v>
      </c>
    </row>
    <row r="96" spans="1:15" x14ac:dyDescent="0.3">
      <c r="A96" s="8" t="s">
        <v>21</v>
      </c>
      <c r="B96" s="6">
        <v>14841</v>
      </c>
      <c r="C96" s="6">
        <v>12246.333333333334</v>
      </c>
      <c r="D96" s="6">
        <v>0</v>
      </c>
      <c r="E96" s="6">
        <v>0</v>
      </c>
      <c r="F96" s="6">
        <v>1247.1666666666667</v>
      </c>
      <c r="G96" s="6">
        <v>7791.666666666667</v>
      </c>
      <c r="H96" s="6">
        <v>1805.5</v>
      </c>
      <c r="I96" s="6">
        <v>35589.75</v>
      </c>
      <c r="J96" s="6">
        <v>0</v>
      </c>
      <c r="K96" s="6">
        <v>44036.75</v>
      </c>
      <c r="L96" s="6">
        <v>0</v>
      </c>
      <c r="M96" s="6">
        <v>9540.25</v>
      </c>
      <c r="N96" s="22">
        <v>5</v>
      </c>
      <c r="O96" s="22">
        <v>2025</v>
      </c>
    </row>
    <row r="97" spans="1:15" x14ac:dyDescent="0.3">
      <c r="A97" s="8" t="s">
        <v>22</v>
      </c>
      <c r="B97" s="6">
        <v>0</v>
      </c>
      <c r="C97" s="6">
        <v>12246.333333333334</v>
      </c>
      <c r="D97" s="6">
        <v>0</v>
      </c>
      <c r="E97" s="6">
        <v>0</v>
      </c>
      <c r="F97" s="6">
        <v>1247.1666666666667</v>
      </c>
      <c r="G97" s="6">
        <v>7791.666666666667</v>
      </c>
      <c r="H97" s="6">
        <v>1805.5</v>
      </c>
      <c r="I97" s="6">
        <v>35589.75</v>
      </c>
      <c r="J97" s="6">
        <v>0</v>
      </c>
      <c r="K97" s="6">
        <v>44036.75</v>
      </c>
      <c r="L97" s="6">
        <v>0</v>
      </c>
      <c r="M97" s="6">
        <v>9540.25</v>
      </c>
      <c r="N97" s="22">
        <v>5</v>
      </c>
      <c r="O97" s="22">
        <v>2025</v>
      </c>
    </row>
    <row r="98" spans="1:15" x14ac:dyDescent="0.3">
      <c r="A98" s="8" t="s">
        <v>11</v>
      </c>
      <c r="B98" s="6">
        <v>27032</v>
      </c>
      <c r="C98" s="6">
        <v>0</v>
      </c>
      <c r="D98" s="6">
        <v>0</v>
      </c>
      <c r="E98" s="6">
        <v>83.333333333333329</v>
      </c>
      <c r="F98" s="6">
        <v>1611.75</v>
      </c>
      <c r="G98" s="6">
        <v>1220.1041666666667</v>
      </c>
      <c r="H98" s="6">
        <v>22433.916666666668</v>
      </c>
      <c r="I98" s="6">
        <v>35958.75</v>
      </c>
      <c r="J98" s="6">
        <v>12143.416666666666</v>
      </c>
      <c r="K98" s="6">
        <v>31382.666666666668</v>
      </c>
      <c r="L98" s="6">
        <v>11666.916666666666</v>
      </c>
      <c r="M98" s="6">
        <v>0</v>
      </c>
      <c r="N98" s="22">
        <v>4</v>
      </c>
      <c r="O98" s="22">
        <v>2025</v>
      </c>
    </row>
    <row r="99" spans="1:15" x14ac:dyDescent="0.3">
      <c r="A99" s="8" t="s">
        <v>12</v>
      </c>
      <c r="B99" s="6">
        <v>6200</v>
      </c>
      <c r="C99" s="6">
        <v>0</v>
      </c>
      <c r="D99" s="6">
        <v>0</v>
      </c>
      <c r="E99" s="6">
        <v>83.333333333333329</v>
      </c>
      <c r="F99" s="6">
        <v>1611.75</v>
      </c>
      <c r="G99" s="6">
        <v>1220.1041666666667</v>
      </c>
      <c r="H99" s="6">
        <v>22433.916666666668</v>
      </c>
      <c r="I99" s="6">
        <v>35958.75</v>
      </c>
      <c r="J99" s="6">
        <v>12143.416666666666</v>
      </c>
      <c r="K99" s="6">
        <v>31382.666666666668</v>
      </c>
      <c r="L99" s="6">
        <v>11666.916666666666</v>
      </c>
      <c r="M99" s="6">
        <v>0</v>
      </c>
      <c r="N99" s="22">
        <v>4</v>
      </c>
      <c r="O99" s="22">
        <v>2025</v>
      </c>
    </row>
    <row r="100" spans="1:15" x14ac:dyDescent="0.3">
      <c r="A100" s="8" t="s">
        <v>13</v>
      </c>
      <c r="B100" s="6">
        <v>15624</v>
      </c>
      <c r="C100" s="6">
        <v>0</v>
      </c>
      <c r="D100" s="6">
        <v>0</v>
      </c>
      <c r="E100" s="6">
        <v>83.333333333333329</v>
      </c>
      <c r="F100" s="6">
        <v>1611.75</v>
      </c>
      <c r="G100" s="6">
        <v>1220.1041666666667</v>
      </c>
      <c r="H100" s="6">
        <v>22433.916666666668</v>
      </c>
      <c r="I100" s="6">
        <v>35958.75</v>
      </c>
      <c r="J100" s="6">
        <v>12143.416666666666</v>
      </c>
      <c r="K100" s="6">
        <v>31382.666666666668</v>
      </c>
      <c r="L100" s="6">
        <v>11666.916666666666</v>
      </c>
      <c r="M100" s="6">
        <v>0</v>
      </c>
      <c r="N100" s="22">
        <v>4</v>
      </c>
      <c r="O100" s="22">
        <v>2025</v>
      </c>
    </row>
    <row r="101" spans="1:15" x14ac:dyDescent="0.3">
      <c r="A101" s="8" t="s">
        <v>14</v>
      </c>
      <c r="B101" s="6">
        <v>1240</v>
      </c>
      <c r="C101" s="6">
        <v>0</v>
      </c>
      <c r="D101" s="6">
        <v>0</v>
      </c>
      <c r="E101" s="6">
        <v>83.333333333333329</v>
      </c>
      <c r="F101" s="6">
        <v>1611.75</v>
      </c>
      <c r="G101" s="6">
        <v>1220.1041666666667</v>
      </c>
      <c r="H101" s="6">
        <v>22433.916666666668</v>
      </c>
      <c r="I101" s="6">
        <v>35958.75</v>
      </c>
      <c r="J101" s="6">
        <v>12143.416666666666</v>
      </c>
      <c r="K101" s="6">
        <v>31382.666666666668</v>
      </c>
      <c r="L101" s="6">
        <v>11666.916666666666</v>
      </c>
      <c r="M101" s="6">
        <v>0</v>
      </c>
      <c r="N101" s="22">
        <v>4</v>
      </c>
      <c r="O101" s="22">
        <v>2025</v>
      </c>
    </row>
    <row r="102" spans="1:15" x14ac:dyDescent="0.3">
      <c r="A102" s="8" t="s">
        <v>15</v>
      </c>
      <c r="B102" s="6">
        <v>992</v>
      </c>
      <c r="C102" s="6">
        <v>0</v>
      </c>
      <c r="D102" s="6">
        <v>0</v>
      </c>
      <c r="E102" s="6">
        <v>83.333333333333329</v>
      </c>
      <c r="F102" s="6">
        <v>1611.75</v>
      </c>
      <c r="G102" s="6">
        <v>1220.1041666666667</v>
      </c>
      <c r="H102" s="6">
        <v>22433.916666666668</v>
      </c>
      <c r="I102" s="6">
        <v>35958.75</v>
      </c>
      <c r="J102" s="6">
        <v>12143.416666666666</v>
      </c>
      <c r="K102" s="6">
        <v>31382.666666666668</v>
      </c>
      <c r="L102" s="6">
        <v>11666.916666666666</v>
      </c>
      <c r="M102" s="6">
        <v>0</v>
      </c>
      <c r="N102" s="22">
        <v>4</v>
      </c>
      <c r="O102" s="22">
        <v>2025</v>
      </c>
    </row>
    <row r="103" spans="1:15" x14ac:dyDescent="0.3">
      <c r="A103" s="8" t="s">
        <v>16</v>
      </c>
      <c r="B103" s="6">
        <v>0</v>
      </c>
      <c r="C103" s="6">
        <v>0</v>
      </c>
      <c r="D103" s="6">
        <v>0</v>
      </c>
      <c r="E103" s="6">
        <v>83.333333333333329</v>
      </c>
      <c r="F103" s="6">
        <v>1611.75</v>
      </c>
      <c r="G103" s="6">
        <v>1220.1041666666667</v>
      </c>
      <c r="H103" s="6">
        <v>22433.916666666668</v>
      </c>
      <c r="I103" s="6">
        <v>35958.75</v>
      </c>
      <c r="J103" s="6">
        <v>12143.416666666666</v>
      </c>
      <c r="K103" s="6">
        <v>31382.666666666668</v>
      </c>
      <c r="L103" s="6">
        <v>11666.916666666666</v>
      </c>
      <c r="M103" s="6">
        <v>0</v>
      </c>
      <c r="N103" s="22">
        <v>4</v>
      </c>
      <c r="O103" s="22">
        <v>2025</v>
      </c>
    </row>
    <row r="104" spans="1:15" x14ac:dyDescent="0.3">
      <c r="A104" s="8" t="s">
        <v>17</v>
      </c>
      <c r="B104" s="6">
        <v>30504</v>
      </c>
      <c r="C104" s="6">
        <v>0</v>
      </c>
      <c r="D104" s="6">
        <v>0</v>
      </c>
      <c r="E104" s="6">
        <v>83.333333333333329</v>
      </c>
      <c r="F104" s="6">
        <v>1611.75</v>
      </c>
      <c r="G104" s="6">
        <v>1220.1041666666667</v>
      </c>
      <c r="H104" s="6">
        <v>22433.916666666668</v>
      </c>
      <c r="I104" s="6">
        <v>35958.75</v>
      </c>
      <c r="J104" s="6">
        <v>12143.416666666666</v>
      </c>
      <c r="K104" s="6">
        <v>31382.666666666668</v>
      </c>
      <c r="L104" s="6">
        <v>11666.916666666666</v>
      </c>
      <c r="M104" s="6">
        <v>0</v>
      </c>
      <c r="N104" s="22">
        <v>4</v>
      </c>
      <c r="O104" s="22">
        <v>2025</v>
      </c>
    </row>
    <row r="105" spans="1:15" x14ac:dyDescent="0.3">
      <c r="A105" s="8" t="s">
        <v>18</v>
      </c>
      <c r="B105" s="6">
        <v>0</v>
      </c>
      <c r="C105" s="6">
        <v>0</v>
      </c>
      <c r="D105" s="6">
        <v>0</v>
      </c>
      <c r="E105" s="6">
        <v>83.333333333333329</v>
      </c>
      <c r="F105" s="6">
        <v>1611.75</v>
      </c>
      <c r="G105" s="6">
        <v>1220.1041666666667</v>
      </c>
      <c r="H105" s="6">
        <v>22433.916666666668</v>
      </c>
      <c r="I105" s="6">
        <v>35958.75</v>
      </c>
      <c r="J105" s="6">
        <v>12143.416666666666</v>
      </c>
      <c r="K105" s="6">
        <v>31382.666666666668</v>
      </c>
      <c r="L105" s="6">
        <v>11666.916666666666</v>
      </c>
      <c r="M105" s="6">
        <v>0</v>
      </c>
      <c r="N105" s="22">
        <v>4</v>
      </c>
      <c r="O105" s="22">
        <v>2025</v>
      </c>
    </row>
    <row r="106" spans="1:15" x14ac:dyDescent="0.3">
      <c r="A106" s="8" t="s">
        <v>19</v>
      </c>
      <c r="B106" s="6">
        <v>30752</v>
      </c>
      <c r="C106" s="6">
        <v>0</v>
      </c>
      <c r="D106" s="6">
        <v>0</v>
      </c>
      <c r="E106" s="6">
        <v>83.333333333333329</v>
      </c>
      <c r="F106" s="6">
        <v>1611.75</v>
      </c>
      <c r="G106" s="6">
        <v>1220.1041666666667</v>
      </c>
      <c r="H106" s="6">
        <v>22433.916666666668</v>
      </c>
      <c r="I106" s="6">
        <v>35958.75</v>
      </c>
      <c r="J106" s="6">
        <v>12143.416666666666</v>
      </c>
      <c r="K106" s="6">
        <v>31382.666666666668</v>
      </c>
      <c r="L106" s="6">
        <v>11666.916666666666</v>
      </c>
      <c r="M106" s="6">
        <v>0</v>
      </c>
      <c r="N106" s="22">
        <v>4</v>
      </c>
      <c r="O106" s="22">
        <v>2025</v>
      </c>
    </row>
    <row r="107" spans="1:15" x14ac:dyDescent="0.3">
      <c r="A107" s="8" t="s">
        <v>20</v>
      </c>
      <c r="B107" s="6">
        <v>0</v>
      </c>
      <c r="C107" s="6">
        <v>0</v>
      </c>
      <c r="D107" s="6">
        <v>0</v>
      </c>
      <c r="E107" s="6">
        <v>83.333333333333329</v>
      </c>
      <c r="F107" s="6">
        <v>1611.75</v>
      </c>
      <c r="G107" s="6">
        <v>1220.1041666666667</v>
      </c>
      <c r="H107" s="6">
        <v>22433.916666666668</v>
      </c>
      <c r="I107" s="6">
        <v>35958.75</v>
      </c>
      <c r="J107" s="6">
        <v>12143.416666666666</v>
      </c>
      <c r="K107" s="6">
        <v>31382.666666666668</v>
      </c>
      <c r="L107" s="6">
        <v>11666.916666666666</v>
      </c>
      <c r="M107" s="6">
        <v>0</v>
      </c>
      <c r="N107" s="22">
        <v>4</v>
      </c>
      <c r="O107" s="22">
        <v>2025</v>
      </c>
    </row>
    <row r="108" spans="1:15" x14ac:dyDescent="0.3">
      <c r="A108" s="8" t="s">
        <v>21</v>
      </c>
      <c r="B108" s="6">
        <v>14384</v>
      </c>
      <c r="C108" s="6">
        <v>0</v>
      </c>
      <c r="D108" s="6">
        <v>0</v>
      </c>
      <c r="E108" s="6">
        <v>83.333333333333329</v>
      </c>
      <c r="F108" s="6">
        <v>1611.75</v>
      </c>
      <c r="G108" s="6">
        <v>1220.1041666666667</v>
      </c>
      <c r="H108" s="6">
        <v>22433.916666666668</v>
      </c>
      <c r="I108" s="6">
        <v>35958.75</v>
      </c>
      <c r="J108" s="6">
        <v>12143.416666666666</v>
      </c>
      <c r="K108" s="6">
        <v>31382.666666666668</v>
      </c>
      <c r="L108" s="6">
        <v>11666.916666666666</v>
      </c>
      <c r="M108" s="6">
        <v>0</v>
      </c>
      <c r="N108" s="22">
        <v>4</v>
      </c>
      <c r="O108" s="22">
        <v>2025</v>
      </c>
    </row>
    <row r="109" spans="1:15" x14ac:dyDescent="0.3">
      <c r="A109" s="8" t="s">
        <v>22</v>
      </c>
      <c r="B109" s="6">
        <v>0</v>
      </c>
      <c r="C109" s="6">
        <v>0</v>
      </c>
      <c r="D109" s="6">
        <v>0</v>
      </c>
      <c r="E109" s="6">
        <v>83.333333333333329</v>
      </c>
      <c r="F109" s="6">
        <v>1611.75</v>
      </c>
      <c r="G109" s="6">
        <v>1220.1041666666667</v>
      </c>
      <c r="H109" s="6">
        <v>22433.916666666668</v>
      </c>
      <c r="I109" s="6">
        <v>35958.75</v>
      </c>
      <c r="J109" s="6">
        <v>12143.416666666666</v>
      </c>
      <c r="K109" s="6">
        <v>31382.666666666668</v>
      </c>
      <c r="L109" s="6">
        <v>11666.916666666666</v>
      </c>
      <c r="M109" s="6">
        <v>0</v>
      </c>
      <c r="N109" s="22">
        <v>4</v>
      </c>
      <c r="O109" s="22">
        <v>2025</v>
      </c>
    </row>
    <row r="110" spans="1:15" x14ac:dyDescent="0.3">
      <c r="A110" s="8" t="s">
        <v>11</v>
      </c>
      <c r="B110" s="6">
        <v>18157</v>
      </c>
      <c r="C110" s="6">
        <v>5875</v>
      </c>
      <c r="D110" s="6">
        <v>0</v>
      </c>
      <c r="E110" s="6">
        <v>0</v>
      </c>
      <c r="F110" s="6">
        <v>1862.0833333333333</v>
      </c>
      <c r="G110" s="6">
        <v>892.5</v>
      </c>
      <c r="H110" s="6">
        <v>1743</v>
      </c>
      <c r="I110" s="6">
        <v>35825.25</v>
      </c>
      <c r="J110" s="6">
        <v>0</v>
      </c>
      <c r="K110" s="6">
        <v>15833.333333333334</v>
      </c>
      <c r="L110" s="6">
        <v>0</v>
      </c>
      <c r="M110" s="6">
        <v>0</v>
      </c>
      <c r="N110" s="22">
        <v>3</v>
      </c>
      <c r="O110" s="22">
        <v>2025</v>
      </c>
    </row>
    <row r="111" spans="1:15" x14ac:dyDescent="0.3">
      <c r="A111" s="8" t="s">
        <v>12</v>
      </c>
      <c r="B111" s="6">
        <v>4607</v>
      </c>
      <c r="C111" s="6">
        <v>5875</v>
      </c>
      <c r="D111" s="6">
        <v>0</v>
      </c>
      <c r="E111" s="6">
        <v>0</v>
      </c>
      <c r="F111" s="6">
        <v>1862.0833333333333</v>
      </c>
      <c r="G111" s="6">
        <v>892.5</v>
      </c>
      <c r="H111" s="6">
        <v>1743</v>
      </c>
      <c r="I111" s="6">
        <v>35825.25</v>
      </c>
      <c r="J111" s="6">
        <v>0</v>
      </c>
      <c r="K111" s="6">
        <v>15833.333333333334</v>
      </c>
      <c r="L111" s="6">
        <v>0</v>
      </c>
      <c r="M111" s="6">
        <v>0</v>
      </c>
      <c r="N111" s="22">
        <v>3</v>
      </c>
      <c r="O111" s="22">
        <v>2025</v>
      </c>
    </row>
    <row r="112" spans="1:15" x14ac:dyDescent="0.3">
      <c r="A112" s="8" t="s">
        <v>13</v>
      </c>
      <c r="B112" s="6">
        <v>40650</v>
      </c>
      <c r="C112" s="6">
        <v>5875</v>
      </c>
      <c r="D112" s="6">
        <v>0</v>
      </c>
      <c r="E112" s="6">
        <v>0</v>
      </c>
      <c r="F112" s="6">
        <v>1862.0833333333333</v>
      </c>
      <c r="G112" s="6">
        <v>892.5</v>
      </c>
      <c r="H112" s="6">
        <v>1743</v>
      </c>
      <c r="I112" s="6">
        <v>35825.25</v>
      </c>
      <c r="J112" s="6">
        <v>0</v>
      </c>
      <c r="K112" s="6">
        <v>15833.333333333334</v>
      </c>
      <c r="L112" s="6">
        <v>0</v>
      </c>
      <c r="M112" s="6">
        <v>0</v>
      </c>
      <c r="N112" s="22">
        <v>3</v>
      </c>
      <c r="O112" s="22">
        <v>2025</v>
      </c>
    </row>
    <row r="113" spans="1:15" x14ac:dyDescent="0.3">
      <c r="A113" s="8" t="s">
        <v>14</v>
      </c>
      <c r="B113" s="6">
        <v>1084</v>
      </c>
      <c r="C113" s="6">
        <v>5875</v>
      </c>
      <c r="D113" s="6">
        <v>0</v>
      </c>
      <c r="E113" s="6">
        <v>0</v>
      </c>
      <c r="F113" s="6">
        <v>1862.0833333333333</v>
      </c>
      <c r="G113" s="6">
        <v>892.5</v>
      </c>
      <c r="H113" s="6">
        <v>1743</v>
      </c>
      <c r="I113" s="6">
        <v>35825.25</v>
      </c>
      <c r="J113" s="6">
        <v>0</v>
      </c>
      <c r="K113" s="6">
        <v>15833.333333333334</v>
      </c>
      <c r="L113" s="6">
        <v>0</v>
      </c>
      <c r="M113" s="6">
        <v>0</v>
      </c>
      <c r="N113" s="22">
        <v>3</v>
      </c>
      <c r="O113" s="22">
        <v>2025</v>
      </c>
    </row>
    <row r="114" spans="1:15" x14ac:dyDescent="0.3">
      <c r="A114" s="8" t="s">
        <v>15</v>
      </c>
      <c r="B114" s="6">
        <v>1084</v>
      </c>
      <c r="C114" s="6">
        <v>5875</v>
      </c>
      <c r="D114" s="6">
        <v>0</v>
      </c>
      <c r="E114" s="6">
        <v>0</v>
      </c>
      <c r="F114" s="6">
        <v>1862.0833333333333</v>
      </c>
      <c r="G114" s="6">
        <v>892.5</v>
      </c>
      <c r="H114" s="6">
        <v>1743</v>
      </c>
      <c r="I114" s="6">
        <v>35825.25</v>
      </c>
      <c r="J114" s="6">
        <v>0</v>
      </c>
      <c r="K114" s="6">
        <v>15833.333333333334</v>
      </c>
      <c r="L114" s="6">
        <v>0</v>
      </c>
      <c r="M114" s="6">
        <v>0</v>
      </c>
      <c r="N114" s="22">
        <v>3</v>
      </c>
      <c r="O114" s="22">
        <v>2025</v>
      </c>
    </row>
    <row r="115" spans="1:15" x14ac:dyDescent="0.3">
      <c r="A115" s="8" t="s">
        <v>16</v>
      </c>
      <c r="B115" s="6">
        <v>0</v>
      </c>
      <c r="C115" s="6">
        <v>5875</v>
      </c>
      <c r="D115" s="6">
        <v>0</v>
      </c>
      <c r="E115" s="6">
        <v>0</v>
      </c>
      <c r="F115" s="6">
        <v>1862.0833333333333</v>
      </c>
      <c r="G115" s="6">
        <v>892.5</v>
      </c>
      <c r="H115" s="6">
        <v>1743</v>
      </c>
      <c r="I115" s="6">
        <v>35825.25</v>
      </c>
      <c r="J115" s="6">
        <v>0</v>
      </c>
      <c r="K115" s="6">
        <v>15833.333333333334</v>
      </c>
      <c r="L115" s="6">
        <v>0</v>
      </c>
      <c r="M115" s="6">
        <v>0</v>
      </c>
      <c r="N115" s="22">
        <v>3</v>
      </c>
      <c r="O115" s="22">
        <v>2025</v>
      </c>
    </row>
    <row r="116" spans="1:15" x14ac:dyDescent="0.3">
      <c r="A116" s="8" t="s">
        <v>17</v>
      </c>
      <c r="B116" s="6">
        <v>17615</v>
      </c>
      <c r="C116" s="6">
        <v>5875</v>
      </c>
      <c r="D116" s="6">
        <v>0</v>
      </c>
      <c r="E116" s="6">
        <v>0</v>
      </c>
      <c r="F116" s="6">
        <v>1862.0833333333333</v>
      </c>
      <c r="G116" s="6">
        <v>892.5</v>
      </c>
      <c r="H116" s="6">
        <v>1743</v>
      </c>
      <c r="I116" s="6">
        <v>35825.25</v>
      </c>
      <c r="J116" s="6">
        <v>0</v>
      </c>
      <c r="K116" s="6">
        <v>15833.333333333334</v>
      </c>
      <c r="L116" s="6">
        <v>0</v>
      </c>
      <c r="M116" s="6">
        <v>0</v>
      </c>
      <c r="N116" s="22">
        <v>3</v>
      </c>
      <c r="O116" s="22">
        <v>2025</v>
      </c>
    </row>
    <row r="117" spans="1:15" x14ac:dyDescent="0.3">
      <c r="A117" s="8" t="s">
        <v>18</v>
      </c>
      <c r="B117" s="6">
        <v>271</v>
      </c>
      <c r="C117" s="6">
        <v>5875</v>
      </c>
      <c r="D117" s="6">
        <v>0</v>
      </c>
      <c r="E117" s="6">
        <v>0</v>
      </c>
      <c r="F117" s="6">
        <v>1862.0833333333333</v>
      </c>
      <c r="G117" s="6">
        <v>892.5</v>
      </c>
      <c r="H117" s="6">
        <v>1743</v>
      </c>
      <c r="I117" s="6">
        <v>35825.25</v>
      </c>
      <c r="J117" s="6">
        <v>0</v>
      </c>
      <c r="K117" s="6">
        <v>15833.333333333334</v>
      </c>
      <c r="L117" s="6">
        <v>0</v>
      </c>
      <c r="M117" s="6">
        <v>0</v>
      </c>
      <c r="N117" s="22">
        <v>3</v>
      </c>
      <c r="O117" s="22">
        <v>2025</v>
      </c>
    </row>
    <row r="118" spans="1:15" x14ac:dyDescent="0.3">
      <c r="A118" s="8" t="s">
        <v>19</v>
      </c>
      <c r="B118" s="6">
        <v>34688</v>
      </c>
      <c r="C118" s="6">
        <v>5875</v>
      </c>
      <c r="D118" s="6">
        <v>0</v>
      </c>
      <c r="E118" s="6">
        <v>0</v>
      </c>
      <c r="F118" s="6">
        <v>1862.0833333333333</v>
      </c>
      <c r="G118" s="6">
        <v>892.5</v>
      </c>
      <c r="H118" s="6">
        <v>1743</v>
      </c>
      <c r="I118" s="6">
        <v>35825.25</v>
      </c>
      <c r="J118" s="6">
        <v>0</v>
      </c>
      <c r="K118" s="6">
        <v>15833.333333333334</v>
      </c>
      <c r="L118" s="6">
        <v>0</v>
      </c>
      <c r="M118" s="6">
        <v>0</v>
      </c>
      <c r="N118" s="22">
        <v>3</v>
      </c>
      <c r="O118" s="22">
        <v>2025</v>
      </c>
    </row>
    <row r="119" spans="1:15" x14ac:dyDescent="0.3">
      <c r="A119" s="8" t="s">
        <v>20</v>
      </c>
      <c r="B119" s="6">
        <v>0</v>
      </c>
      <c r="C119" s="6">
        <v>5875</v>
      </c>
      <c r="D119" s="6">
        <v>0</v>
      </c>
      <c r="E119" s="6">
        <v>0</v>
      </c>
      <c r="F119" s="6">
        <v>1862.0833333333333</v>
      </c>
      <c r="G119" s="6">
        <v>892.5</v>
      </c>
      <c r="H119" s="6">
        <v>1743</v>
      </c>
      <c r="I119" s="6">
        <v>35825.25</v>
      </c>
      <c r="J119" s="6">
        <v>0</v>
      </c>
      <c r="K119" s="6">
        <v>15833.333333333334</v>
      </c>
      <c r="L119" s="6">
        <v>0</v>
      </c>
      <c r="M119" s="6">
        <v>0</v>
      </c>
      <c r="N119" s="22">
        <v>3</v>
      </c>
      <c r="O119" s="22">
        <v>2025</v>
      </c>
    </row>
    <row r="120" spans="1:15" x14ac:dyDescent="0.3">
      <c r="A120" s="8" t="s">
        <v>21</v>
      </c>
      <c r="B120" s="6">
        <v>0</v>
      </c>
      <c r="C120" s="6">
        <v>5875</v>
      </c>
      <c r="D120" s="6">
        <v>0</v>
      </c>
      <c r="E120" s="6">
        <v>0</v>
      </c>
      <c r="F120" s="6">
        <v>1862.0833333333333</v>
      </c>
      <c r="G120" s="6">
        <v>892.5</v>
      </c>
      <c r="H120" s="6">
        <v>1743</v>
      </c>
      <c r="I120" s="6">
        <v>35825.25</v>
      </c>
      <c r="J120" s="6">
        <v>0</v>
      </c>
      <c r="K120" s="6">
        <v>15833.333333333334</v>
      </c>
      <c r="L120" s="6">
        <v>0</v>
      </c>
      <c r="M120" s="6">
        <v>0</v>
      </c>
      <c r="N120" s="22">
        <v>3</v>
      </c>
      <c r="O120" s="22">
        <v>2025</v>
      </c>
    </row>
    <row r="121" spans="1:15" x14ac:dyDescent="0.3">
      <c r="A121" s="8" t="s">
        <v>22</v>
      </c>
      <c r="B121" s="6">
        <v>12466</v>
      </c>
      <c r="C121" s="6">
        <v>5875</v>
      </c>
      <c r="D121" s="6">
        <v>0</v>
      </c>
      <c r="E121" s="6">
        <v>0</v>
      </c>
      <c r="F121" s="6">
        <v>1862.0833333333333</v>
      </c>
      <c r="G121" s="6">
        <v>892.5</v>
      </c>
      <c r="H121" s="6">
        <v>1743</v>
      </c>
      <c r="I121" s="6">
        <v>35825.25</v>
      </c>
      <c r="J121" s="6">
        <v>0</v>
      </c>
      <c r="K121" s="6">
        <v>15833.333333333334</v>
      </c>
      <c r="L121" s="6">
        <v>0</v>
      </c>
      <c r="M121" s="6">
        <v>0</v>
      </c>
      <c r="N121" s="22">
        <v>3</v>
      </c>
      <c r="O121" s="22">
        <v>2025</v>
      </c>
    </row>
    <row r="122" spans="1:15" x14ac:dyDescent="0.3">
      <c r="A122" s="8" t="s">
        <v>11</v>
      </c>
      <c r="B122" s="6">
        <v>10840</v>
      </c>
      <c r="C122" s="6">
        <v>6058.333333333333</v>
      </c>
      <c r="D122" s="6">
        <v>0</v>
      </c>
      <c r="E122" s="6">
        <v>46439.333333333336</v>
      </c>
      <c r="F122" s="6">
        <v>9706.75</v>
      </c>
      <c r="G122" s="6">
        <v>950</v>
      </c>
      <c r="H122" s="6">
        <v>3474.5833333333335</v>
      </c>
      <c r="I122" s="6">
        <v>47151.666666666664</v>
      </c>
      <c r="J122" s="6">
        <v>0</v>
      </c>
      <c r="K122" s="6">
        <v>49651.25</v>
      </c>
      <c r="L122" s="6">
        <v>0</v>
      </c>
      <c r="M122" s="6">
        <v>0</v>
      </c>
      <c r="N122" s="22">
        <v>2</v>
      </c>
      <c r="O122" s="22">
        <v>2025</v>
      </c>
    </row>
    <row r="123" spans="1:15" x14ac:dyDescent="0.3">
      <c r="A123" s="8" t="s">
        <v>12</v>
      </c>
      <c r="B123" s="6">
        <v>3252</v>
      </c>
      <c r="C123" s="6">
        <v>6058.333333333333</v>
      </c>
      <c r="D123" s="6">
        <v>0</v>
      </c>
      <c r="E123" s="6">
        <v>46439.333333333336</v>
      </c>
      <c r="F123" s="6">
        <v>9706.75</v>
      </c>
      <c r="G123" s="6">
        <v>950</v>
      </c>
      <c r="H123" s="6">
        <v>3474.5833333333335</v>
      </c>
      <c r="I123" s="6">
        <v>47151.666666666664</v>
      </c>
      <c r="J123" s="6">
        <v>0</v>
      </c>
      <c r="K123" s="6">
        <v>49651.25</v>
      </c>
      <c r="L123" s="6">
        <v>0</v>
      </c>
      <c r="M123" s="6">
        <v>0</v>
      </c>
      <c r="N123" s="22">
        <v>2</v>
      </c>
      <c r="O123" s="22">
        <v>2025</v>
      </c>
    </row>
    <row r="124" spans="1:15" x14ac:dyDescent="0.3">
      <c r="A124" s="8" t="s">
        <v>13</v>
      </c>
      <c r="B124" s="6">
        <v>15718</v>
      </c>
      <c r="C124" s="6">
        <v>6058.333333333333</v>
      </c>
      <c r="D124" s="6">
        <v>0</v>
      </c>
      <c r="E124" s="6">
        <v>46439.333333333336</v>
      </c>
      <c r="F124" s="6">
        <v>9706.75</v>
      </c>
      <c r="G124" s="6">
        <v>950</v>
      </c>
      <c r="H124" s="6">
        <v>3474.5833333333335</v>
      </c>
      <c r="I124" s="6">
        <v>47151.666666666664</v>
      </c>
      <c r="J124" s="6">
        <v>0</v>
      </c>
      <c r="K124" s="6">
        <v>49651.25</v>
      </c>
      <c r="L124" s="6">
        <v>0</v>
      </c>
      <c r="M124" s="6">
        <v>0</v>
      </c>
      <c r="N124" s="22">
        <v>2</v>
      </c>
      <c r="O124" s="22">
        <v>2025</v>
      </c>
    </row>
    <row r="125" spans="1:15" x14ac:dyDescent="0.3">
      <c r="A125" s="8" t="s">
        <v>14</v>
      </c>
      <c r="B125" s="6">
        <v>813</v>
      </c>
      <c r="C125" s="6">
        <v>6058.333333333333</v>
      </c>
      <c r="D125" s="6">
        <v>0</v>
      </c>
      <c r="E125" s="6">
        <v>46439.333333333336</v>
      </c>
      <c r="F125" s="6">
        <v>9706.75</v>
      </c>
      <c r="G125" s="6">
        <v>950</v>
      </c>
      <c r="H125" s="6">
        <v>3474.5833333333335</v>
      </c>
      <c r="I125" s="6">
        <v>47151.666666666664</v>
      </c>
      <c r="J125" s="6">
        <v>0</v>
      </c>
      <c r="K125" s="6">
        <v>49651.25</v>
      </c>
      <c r="L125" s="6">
        <v>0</v>
      </c>
      <c r="M125" s="6">
        <v>0</v>
      </c>
      <c r="N125" s="22">
        <v>2</v>
      </c>
      <c r="O125" s="22">
        <v>2025</v>
      </c>
    </row>
    <row r="126" spans="1:15" x14ac:dyDescent="0.3">
      <c r="A126" s="8" t="s">
        <v>15</v>
      </c>
      <c r="B126" s="6">
        <v>1084</v>
      </c>
      <c r="C126" s="6">
        <v>6058.333333333333</v>
      </c>
      <c r="D126" s="6">
        <v>0</v>
      </c>
      <c r="E126" s="6">
        <v>46439.333333333336</v>
      </c>
      <c r="F126" s="6">
        <v>9706.75</v>
      </c>
      <c r="G126" s="6">
        <v>950</v>
      </c>
      <c r="H126" s="6">
        <v>3474.5833333333335</v>
      </c>
      <c r="I126" s="6">
        <v>47151.666666666664</v>
      </c>
      <c r="J126" s="6">
        <v>0</v>
      </c>
      <c r="K126" s="6">
        <v>49651.25</v>
      </c>
      <c r="L126" s="6">
        <v>0</v>
      </c>
      <c r="M126" s="6">
        <v>0</v>
      </c>
      <c r="N126" s="22">
        <v>2</v>
      </c>
      <c r="O126" s="22">
        <v>2025</v>
      </c>
    </row>
    <row r="127" spans="1:15" x14ac:dyDescent="0.3">
      <c r="A127" s="8" t="s">
        <v>16</v>
      </c>
      <c r="B127" s="6">
        <v>0</v>
      </c>
      <c r="C127" s="6">
        <v>6058.333333333333</v>
      </c>
      <c r="D127" s="6">
        <v>0</v>
      </c>
      <c r="E127" s="6">
        <v>46439.333333333336</v>
      </c>
      <c r="F127" s="6">
        <v>9706.75</v>
      </c>
      <c r="G127" s="6">
        <v>950</v>
      </c>
      <c r="H127" s="6">
        <v>3474.5833333333335</v>
      </c>
      <c r="I127" s="6">
        <v>47151.666666666664</v>
      </c>
      <c r="J127" s="6">
        <v>0</v>
      </c>
      <c r="K127" s="6">
        <v>49651.25</v>
      </c>
      <c r="L127" s="6">
        <v>0</v>
      </c>
      <c r="M127" s="6">
        <v>0</v>
      </c>
      <c r="N127" s="22">
        <v>2</v>
      </c>
      <c r="O127" s="22">
        <v>2025</v>
      </c>
    </row>
    <row r="128" spans="1:15" x14ac:dyDescent="0.3">
      <c r="A128" s="8" t="s">
        <v>17</v>
      </c>
      <c r="B128" s="6">
        <v>30081</v>
      </c>
      <c r="C128" s="6">
        <v>6058.333333333333</v>
      </c>
      <c r="D128" s="6">
        <v>0</v>
      </c>
      <c r="E128" s="6">
        <v>46439.333333333336</v>
      </c>
      <c r="F128" s="6">
        <v>9706.75</v>
      </c>
      <c r="G128" s="6">
        <v>950</v>
      </c>
      <c r="H128" s="6">
        <v>3474.5833333333335</v>
      </c>
      <c r="I128" s="6">
        <v>47151.666666666664</v>
      </c>
      <c r="J128" s="6">
        <v>0</v>
      </c>
      <c r="K128" s="6">
        <v>49651.25</v>
      </c>
      <c r="L128" s="6">
        <v>0</v>
      </c>
      <c r="M128" s="6">
        <v>0</v>
      </c>
      <c r="N128" s="22">
        <v>2</v>
      </c>
      <c r="O128" s="22">
        <v>2025</v>
      </c>
    </row>
    <row r="129" spans="1:15" x14ac:dyDescent="0.3">
      <c r="A129" s="8" t="s">
        <v>18</v>
      </c>
      <c r="B129" s="6">
        <v>271</v>
      </c>
      <c r="C129" s="6">
        <v>6058.333333333333</v>
      </c>
      <c r="D129" s="6">
        <v>0</v>
      </c>
      <c r="E129" s="6">
        <v>46439.333333333336</v>
      </c>
      <c r="F129" s="6">
        <v>9706.75</v>
      </c>
      <c r="G129" s="6">
        <v>950</v>
      </c>
      <c r="H129" s="6">
        <v>3474.5833333333335</v>
      </c>
      <c r="I129" s="6">
        <v>47151.666666666664</v>
      </c>
      <c r="J129" s="6">
        <v>0</v>
      </c>
      <c r="K129" s="6">
        <v>49651.25</v>
      </c>
      <c r="L129" s="6">
        <v>0</v>
      </c>
      <c r="M129" s="6">
        <v>0</v>
      </c>
      <c r="N129" s="22">
        <v>2</v>
      </c>
      <c r="O129" s="22">
        <v>2025</v>
      </c>
    </row>
    <row r="130" spans="1:15" x14ac:dyDescent="0.3">
      <c r="A130" s="8" t="s">
        <v>19</v>
      </c>
      <c r="B130" s="6">
        <v>24119</v>
      </c>
      <c r="C130" s="6">
        <v>6058.333333333333</v>
      </c>
      <c r="D130" s="6">
        <v>0</v>
      </c>
      <c r="E130" s="6">
        <v>46439.333333333336</v>
      </c>
      <c r="F130" s="6">
        <v>9706.75</v>
      </c>
      <c r="G130" s="6">
        <v>950</v>
      </c>
      <c r="H130" s="6">
        <v>3474.5833333333335</v>
      </c>
      <c r="I130" s="6">
        <v>47151.666666666664</v>
      </c>
      <c r="J130" s="6">
        <v>0</v>
      </c>
      <c r="K130" s="6">
        <v>49651.25</v>
      </c>
      <c r="L130" s="6">
        <v>0</v>
      </c>
      <c r="M130" s="6">
        <v>0</v>
      </c>
      <c r="N130" s="22">
        <v>2</v>
      </c>
      <c r="O130" s="22">
        <v>2025</v>
      </c>
    </row>
    <row r="131" spans="1:15" x14ac:dyDescent="0.3">
      <c r="A131" s="8" t="s">
        <v>20</v>
      </c>
      <c r="B131" s="6">
        <v>0</v>
      </c>
      <c r="C131" s="6">
        <v>6058.333333333333</v>
      </c>
      <c r="D131" s="6">
        <v>0</v>
      </c>
      <c r="E131" s="6">
        <v>46439.333333333336</v>
      </c>
      <c r="F131" s="6">
        <v>9706.75</v>
      </c>
      <c r="G131" s="6">
        <v>950</v>
      </c>
      <c r="H131" s="6">
        <v>3474.5833333333335</v>
      </c>
      <c r="I131" s="6">
        <v>47151.666666666664</v>
      </c>
      <c r="J131" s="6">
        <v>0</v>
      </c>
      <c r="K131" s="6">
        <v>49651.25</v>
      </c>
      <c r="L131" s="6">
        <v>0</v>
      </c>
      <c r="M131" s="6">
        <v>0</v>
      </c>
      <c r="N131" s="22">
        <v>2</v>
      </c>
      <c r="O131" s="22">
        <v>2025</v>
      </c>
    </row>
    <row r="132" spans="1:15" x14ac:dyDescent="0.3">
      <c r="A132" s="8" t="s">
        <v>21</v>
      </c>
      <c r="B132" s="6">
        <v>12466</v>
      </c>
      <c r="C132" s="6">
        <v>6058.333333333333</v>
      </c>
      <c r="D132" s="6">
        <v>0</v>
      </c>
      <c r="E132" s="6">
        <v>46439.333333333336</v>
      </c>
      <c r="F132" s="6">
        <v>9706.75</v>
      </c>
      <c r="G132" s="6">
        <v>950</v>
      </c>
      <c r="H132" s="6">
        <v>3474.5833333333335</v>
      </c>
      <c r="I132" s="6">
        <v>47151.666666666664</v>
      </c>
      <c r="J132" s="6">
        <v>0</v>
      </c>
      <c r="K132" s="6">
        <v>49651.25</v>
      </c>
      <c r="L132" s="6">
        <v>0</v>
      </c>
      <c r="M132" s="6">
        <v>0</v>
      </c>
      <c r="N132" s="22">
        <v>2</v>
      </c>
      <c r="O132" s="22">
        <v>2025</v>
      </c>
    </row>
    <row r="133" spans="1:15" x14ac:dyDescent="0.3">
      <c r="A133" s="8" t="s">
        <v>22</v>
      </c>
      <c r="B133" s="6">
        <v>0</v>
      </c>
      <c r="C133" s="6">
        <v>6058.333333333333</v>
      </c>
      <c r="D133" s="6">
        <v>0</v>
      </c>
      <c r="E133" s="6">
        <v>46439.333333333336</v>
      </c>
      <c r="F133" s="6">
        <v>9706.75</v>
      </c>
      <c r="G133" s="6">
        <v>950</v>
      </c>
      <c r="H133" s="6">
        <v>3474.5833333333335</v>
      </c>
      <c r="I133" s="6">
        <v>47151.666666666664</v>
      </c>
      <c r="J133" s="6">
        <v>0</v>
      </c>
      <c r="K133" s="6">
        <v>49651.25</v>
      </c>
      <c r="L133" s="6">
        <v>0</v>
      </c>
      <c r="M133" s="6">
        <v>0</v>
      </c>
      <c r="N133" s="22">
        <v>2</v>
      </c>
      <c r="O133" s="22">
        <v>2025</v>
      </c>
    </row>
    <row r="134" spans="1:15" x14ac:dyDescent="0.3">
      <c r="A134" s="8" t="s">
        <v>11</v>
      </c>
      <c r="B134" s="6">
        <v>58426</v>
      </c>
      <c r="C134" s="6">
        <v>6681.818181818182</v>
      </c>
      <c r="D134" s="6">
        <v>0</v>
      </c>
      <c r="E134" s="6">
        <v>10694.363636363636</v>
      </c>
      <c r="F134" s="6">
        <v>0</v>
      </c>
      <c r="G134" s="6">
        <v>3951.5454545454545</v>
      </c>
      <c r="H134" s="6">
        <v>2166</v>
      </c>
      <c r="I134" s="6">
        <v>52725.63636363636</v>
      </c>
      <c r="J134" s="6">
        <v>10494.545454545454</v>
      </c>
      <c r="K134" s="6">
        <v>16036.363636363636</v>
      </c>
      <c r="L134" s="6">
        <v>0</v>
      </c>
      <c r="M134" s="6">
        <v>0</v>
      </c>
      <c r="N134" s="22">
        <v>1</v>
      </c>
      <c r="O134" s="22">
        <v>2025</v>
      </c>
    </row>
    <row r="135" spans="1:15" x14ac:dyDescent="0.3">
      <c r="A135" s="8" t="s">
        <v>12</v>
      </c>
      <c r="B135" s="6">
        <v>74670</v>
      </c>
      <c r="C135" s="6">
        <v>6681.818181818182</v>
      </c>
      <c r="D135" s="6">
        <v>0</v>
      </c>
      <c r="E135" s="6">
        <v>10694.363636363636</v>
      </c>
      <c r="F135" s="6">
        <v>0</v>
      </c>
      <c r="G135" s="6">
        <v>3951.5454545454545</v>
      </c>
      <c r="H135" s="6">
        <v>2166</v>
      </c>
      <c r="I135" s="6">
        <v>52725.63636363636</v>
      </c>
      <c r="J135" s="6">
        <v>10494.545454545454</v>
      </c>
      <c r="K135" s="6">
        <v>16036.363636363636</v>
      </c>
      <c r="L135" s="6">
        <v>0</v>
      </c>
      <c r="M135" s="6">
        <v>0</v>
      </c>
      <c r="N135" s="22">
        <v>1</v>
      </c>
      <c r="O135" s="22">
        <v>2025</v>
      </c>
    </row>
    <row r="136" spans="1:15" x14ac:dyDescent="0.3">
      <c r="A136" s="8" t="s">
        <v>13</v>
      </c>
      <c r="B136" s="6">
        <v>39562</v>
      </c>
      <c r="C136" s="6">
        <v>6681.818181818182</v>
      </c>
      <c r="D136" s="6">
        <v>0</v>
      </c>
      <c r="E136" s="6">
        <v>10694.363636363636</v>
      </c>
      <c r="F136" s="6">
        <v>0</v>
      </c>
      <c r="G136" s="6">
        <v>3951.5454545454545</v>
      </c>
      <c r="H136" s="6">
        <v>2166</v>
      </c>
      <c r="I136" s="6">
        <v>52725.63636363636</v>
      </c>
      <c r="J136" s="6">
        <v>10494.545454545454</v>
      </c>
      <c r="K136" s="6">
        <v>16036.363636363636</v>
      </c>
      <c r="L136" s="6">
        <v>0</v>
      </c>
      <c r="M136" s="6">
        <v>0</v>
      </c>
      <c r="N136" s="22">
        <v>1</v>
      </c>
      <c r="O136" s="22">
        <v>2025</v>
      </c>
    </row>
    <row r="137" spans="1:15" x14ac:dyDescent="0.3">
      <c r="A137" s="8" t="s">
        <v>14</v>
      </c>
      <c r="B137" s="6">
        <v>0</v>
      </c>
      <c r="C137" s="6">
        <v>0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22">
        <v>1</v>
      </c>
      <c r="O137" s="22">
        <v>2025</v>
      </c>
    </row>
    <row r="138" spans="1:15" x14ac:dyDescent="0.3">
      <c r="A138" s="8" t="s">
        <v>15</v>
      </c>
      <c r="B138" s="6">
        <v>2096</v>
      </c>
      <c r="C138" s="6">
        <v>6681.818181818182</v>
      </c>
      <c r="D138" s="6">
        <v>0</v>
      </c>
      <c r="E138" s="6">
        <v>10694.363636363636</v>
      </c>
      <c r="F138" s="6">
        <v>0</v>
      </c>
      <c r="G138" s="6">
        <v>3951.5454545454545</v>
      </c>
      <c r="H138" s="6">
        <v>2166</v>
      </c>
      <c r="I138" s="6">
        <v>52725.63636363636</v>
      </c>
      <c r="J138" s="6">
        <v>10494.545454545454</v>
      </c>
      <c r="K138" s="6">
        <v>16036.363636363636</v>
      </c>
      <c r="L138" s="6">
        <v>0</v>
      </c>
      <c r="M138" s="6">
        <v>0</v>
      </c>
      <c r="N138" s="22">
        <v>1</v>
      </c>
      <c r="O138" s="22">
        <v>2025</v>
      </c>
    </row>
    <row r="139" spans="1:15" x14ac:dyDescent="0.3">
      <c r="A139" s="8" t="s">
        <v>16</v>
      </c>
      <c r="B139" s="6">
        <v>3144</v>
      </c>
      <c r="C139" s="6">
        <v>6681.818181818182</v>
      </c>
      <c r="D139" s="6">
        <v>0</v>
      </c>
      <c r="E139" s="6">
        <v>10694.363636363636</v>
      </c>
      <c r="F139" s="6">
        <v>0</v>
      </c>
      <c r="G139" s="6">
        <v>3951.5454545454545</v>
      </c>
      <c r="H139" s="6">
        <v>2166</v>
      </c>
      <c r="I139" s="6">
        <v>52725.63636363636</v>
      </c>
      <c r="J139" s="6">
        <v>10494.545454545454</v>
      </c>
      <c r="K139" s="6">
        <v>16036.363636363636</v>
      </c>
      <c r="L139" s="6">
        <v>0</v>
      </c>
      <c r="M139" s="6">
        <v>0</v>
      </c>
      <c r="N139" s="22">
        <v>1</v>
      </c>
      <c r="O139" s="22">
        <v>2025</v>
      </c>
    </row>
    <row r="140" spans="1:15" x14ac:dyDescent="0.3">
      <c r="A140" s="8" t="s">
        <v>17</v>
      </c>
      <c r="B140" s="6">
        <v>39300</v>
      </c>
      <c r="C140" s="6">
        <v>6681.818181818182</v>
      </c>
      <c r="D140" s="6">
        <v>0</v>
      </c>
      <c r="E140" s="6">
        <v>10694.363636363636</v>
      </c>
      <c r="F140" s="6">
        <v>0</v>
      </c>
      <c r="G140" s="6">
        <v>3951.5454545454545</v>
      </c>
      <c r="H140" s="6">
        <v>2166</v>
      </c>
      <c r="I140" s="6">
        <v>52725.63636363636</v>
      </c>
      <c r="J140" s="6">
        <v>10494.545454545454</v>
      </c>
      <c r="K140" s="6">
        <v>16036.363636363636</v>
      </c>
      <c r="L140" s="6">
        <v>0</v>
      </c>
      <c r="M140" s="6">
        <v>0</v>
      </c>
      <c r="N140" s="22">
        <v>1</v>
      </c>
      <c r="O140" s="22">
        <v>2025</v>
      </c>
    </row>
    <row r="141" spans="1:15" x14ac:dyDescent="0.3">
      <c r="A141" s="8" t="s">
        <v>18</v>
      </c>
      <c r="B141" s="6">
        <v>16768</v>
      </c>
      <c r="C141" s="6">
        <v>6681.818181818182</v>
      </c>
      <c r="D141" s="6">
        <v>0</v>
      </c>
      <c r="E141" s="6">
        <v>10694.363636363636</v>
      </c>
      <c r="F141" s="6">
        <v>0</v>
      </c>
      <c r="G141" s="6">
        <v>3951.5454545454545</v>
      </c>
      <c r="H141" s="6">
        <v>2166</v>
      </c>
      <c r="I141" s="6">
        <v>52725.63636363636</v>
      </c>
      <c r="J141" s="6">
        <v>10494.545454545454</v>
      </c>
      <c r="K141" s="6">
        <v>16036.363636363636</v>
      </c>
      <c r="L141" s="6">
        <v>0</v>
      </c>
      <c r="M141" s="6">
        <v>0</v>
      </c>
      <c r="N141" s="22">
        <v>1</v>
      </c>
      <c r="O141" s="22">
        <v>2025</v>
      </c>
    </row>
    <row r="142" spans="1:15" x14ac:dyDescent="0.3">
      <c r="A142" s="8" t="s">
        <v>19</v>
      </c>
      <c r="B142" s="6">
        <v>52662</v>
      </c>
      <c r="C142" s="6">
        <v>6681.818181818182</v>
      </c>
      <c r="D142" s="6">
        <v>0</v>
      </c>
      <c r="E142" s="6">
        <v>10694.363636363636</v>
      </c>
      <c r="F142" s="6">
        <v>0</v>
      </c>
      <c r="G142" s="6">
        <v>3951.5454545454545</v>
      </c>
      <c r="H142" s="6">
        <v>2166</v>
      </c>
      <c r="I142" s="6">
        <v>52725.63636363636</v>
      </c>
      <c r="J142" s="6">
        <v>10494.545454545454</v>
      </c>
      <c r="K142" s="6">
        <v>16036.363636363636</v>
      </c>
      <c r="L142" s="6">
        <v>0</v>
      </c>
      <c r="M142" s="6">
        <v>0</v>
      </c>
      <c r="N142" s="22">
        <v>1</v>
      </c>
      <c r="O142" s="22">
        <v>2025</v>
      </c>
    </row>
    <row r="143" spans="1:15" x14ac:dyDescent="0.3">
      <c r="A143" s="8" t="s">
        <v>20</v>
      </c>
      <c r="B143" s="6">
        <v>1048</v>
      </c>
      <c r="C143" s="6">
        <v>6681.818181818182</v>
      </c>
      <c r="D143" s="6">
        <v>0</v>
      </c>
      <c r="E143" s="6">
        <v>10694.363636363636</v>
      </c>
      <c r="F143" s="6">
        <v>0</v>
      </c>
      <c r="G143" s="6">
        <v>3951.5454545454545</v>
      </c>
      <c r="H143" s="6">
        <v>2166</v>
      </c>
      <c r="I143" s="6">
        <v>52725.63636363636</v>
      </c>
      <c r="J143" s="6">
        <v>10494.545454545454</v>
      </c>
      <c r="K143" s="6">
        <v>16036.363636363636</v>
      </c>
      <c r="L143" s="6">
        <v>0</v>
      </c>
      <c r="M143" s="6">
        <v>0</v>
      </c>
      <c r="N143" s="22">
        <v>1</v>
      </c>
      <c r="O143" s="22">
        <v>2025</v>
      </c>
    </row>
    <row r="144" spans="1:15" x14ac:dyDescent="0.3">
      <c r="A144" s="8" t="s">
        <v>21</v>
      </c>
      <c r="B144" s="6">
        <v>40348</v>
      </c>
      <c r="C144" s="6">
        <v>6681.818181818182</v>
      </c>
      <c r="D144" s="6">
        <v>0</v>
      </c>
      <c r="E144" s="6">
        <v>10694.363636363636</v>
      </c>
      <c r="F144" s="6">
        <v>0</v>
      </c>
      <c r="G144" s="6">
        <v>3951.5454545454545</v>
      </c>
      <c r="H144" s="6">
        <v>2166</v>
      </c>
      <c r="I144" s="6">
        <v>52725.63636363636</v>
      </c>
      <c r="J144" s="6">
        <v>10494.545454545454</v>
      </c>
      <c r="K144" s="6">
        <v>16036.363636363636</v>
      </c>
      <c r="L144" s="6">
        <v>0</v>
      </c>
      <c r="M144" s="6">
        <v>0</v>
      </c>
      <c r="N144" s="22">
        <v>1</v>
      </c>
      <c r="O144" s="22">
        <v>2025</v>
      </c>
    </row>
    <row r="145" spans="1:15" x14ac:dyDescent="0.3">
      <c r="A145" s="8" t="s">
        <v>22</v>
      </c>
      <c r="B145" s="6">
        <v>262</v>
      </c>
      <c r="C145" s="6">
        <v>6681.818181818182</v>
      </c>
      <c r="D145" s="6">
        <v>0</v>
      </c>
      <c r="E145" s="6">
        <v>10694.363636363636</v>
      </c>
      <c r="F145" s="6">
        <v>0</v>
      </c>
      <c r="G145" s="6">
        <v>3951.5454545454545</v>
      </c>
      <c r="H145" s="6">
        <v>2166</v>
      </c>
      <c r="I145" s="6">
        <v>52725.63636363636</v>
      </c>
      <c r="J145" s="6">
        <v>10494.545454545454</v>
      </c>
      <c r="K145" s="6">
        <v>16036.363636363636</v>
      </c>
      <c r="L145" s="6">
        <v>0</v>
      </c>
      <c r="M145" s="6">
        <v>0</v>
      </c>
      <c r="N145" s="22">
        <v>1</v>
      </c>
      <c r="O145" s="22">
        <v>2025</v>
      </c>
    </row>
    <row r="146" spans="1:15" x14ac:dyDescent="0.3">
      <c r="A146" s="6" t="s">
        <v>11</v>
      </c>
      <c r="B146" s="6">
        <v>0</v>
      </c>
      <c r="C146" s="6">
        <v>6306.9230769230771</v>
      </c>
      <c r="D146" s="6">
        <v>16281.794871794873</v>
      </c>
      <c r="E146" s="6">
        <v>2940.4128205128209</v>
      </c>
      <c r="F146" s="6">
        <v>4271.7948717948721</v>
      </c>
      <c r="G146" s="6">
        <v>757.69230769230774</v>
      </c>
      <c r="H146" s="6">
        <v>2029.0353846153846</v>
      </c>
      <c r="I146" s="6">
        <v>50644.474358974367</v>
      </c>
      <c r="J146" s="22">
        <v>0</v>
      </c>
      <c r="K146" s="22">
        <v>0</v>
      </c>
      <c r="L146" s="22">
        <v>0</v>
      </c>
      <c r="M146" s="22">
        <v>0</v>
      </c>
      <c r="N146" s="22">
        <v>1</v>
      </c>
      <c r="O146" s="22">
        <v>2026</v>
      </c>
    </row>
    <row r="147" spans="1:15" x14ac:dyDescent="0.3">
      <c r="A147" s="6" t="s">
        <v>12</v>
      </c>
      <c r="B147" s="6">
        <v>19453.76565055762</v>
      </c>
      <c r="C147" s="6">
        <v>6306.9230769230771</v>
      </c>
      <c r="D147" s="6">
        <v>16281.794871794873</v>
      </c>
      <c r="E147" s="6">
        <v>2940.4128205128209</v>
      </c>
      <c r="F147" s="6">
        <v>4272</v>
      </c>
      <c r="G147" s="6">
        <v>757.69230769230774</v>
      </c>
      <c r="H147" s="6">
        <v>2029.0353846153846</v>
      </c>
      <c r="I147" s="6">
        <v>50644</v>
      </c>
      <c r="J147" s="22">
        <v>0</v>
      </c>
      <c r="K147" s="22">
        <v>0</v>
      </c>
      <c r="L147" s="22">
        <v>0</v>
      </c>
      <c r="M147" s="22">
        <v>0</v>
      </c>
      <c r="N147" s="22">
        <v>1</v>
      </c>
      <c r="O147" s="22">
        <v>2026</v>
      </c>
    </row>
    <row r="148" spans="1:15" x14ac:dyDescent="0.3">
      <c r="A148" s="6" t="s">
        <v>13</v>
      </c>
      <c r="B148" s="6">
        <v>17832.618513011152</v>
      </c>
      <c r="C148" s="6">
        <v>6306.9230769230771</v>
      </c>
      <c r="D148" s="6">
        <v>16281.794871794873</v>
      </c>
      <c r="E148" s="6">
        <v>2940.4128205128209</v>
      </c>
      <c r="F148" s="6">
        <v>4272</v>
      </c>
      <c r="G148" s="6">
        <v>757.69230769230774</v>
      </c>
      <c r="H148" s="6">
        <v>2029.0353846153846</v>
      </c>
      <c r="I148" s="6">
        <v>50644</v>
      </c>
      <c r="J148" s="22">
        <v>0</v>
      </c>
      <c r="K148" s="22">
        <v>0</v>
      </c>
      <c r="L148" s="22">
        <v>0</v>
      </c>
      <c r="M148" s="22">
        <v>0</v>
      </c>
      <c r="N148" s="22">
        <v>1</v>
      </c>
      <c r="O148" s="22">
        <v>2026</v>
      </c>
    </row>
    <row r="149" spans="1:15" x14ac:dyDescent="0.3">
      <c r="A149" s="6" t="s">
        <v>14</v>
      </c>
      <c r="B149" s="6">
        <v>354.52686363636366</v>
      </c>
      <c r="C149" s="6">
        <v>6306.9230769230771</v>
      </c>
      <c r="D149" s="6">
        <v>16281.794871794873</v>
      </c>
      <c r="E149" s="6">
        <v>2940.4128205128209</v>
      </c>
      <c r="F149" s="6">
        <v>4272</v>
      </c>
      <c r="G149" s="6">
        <v>757.69230769230774</v>
      </c>
      <c r="H149" s="6">
        <v>2029.0353846153846</v>
      </c>
      <c r="I149" s="6">
        <v>50644</v>
      </c>
      <c r="J149" s="22">
        <v>0</v>
      </c>
      <c r="K149" s="22">
        <v>0</v>
      </c>
      <c r="L149" s="22">
        <v>0</v>
      </c>
      <c r="M149" s="22">
        <v>0</v>
      </c>
      <c r="N149" s="22">
        <v>1</v>
      </c>
      <c r="O149" s="22">
        <v>2026</v>
      </c>
    </row>
    <row r="150" spans="1:15" x14ac:dyDescent="0.3">
      <c r="A150" s="6" t="s">
        <v>15</v>
      </c>
      <c r="B150" s="6">
        <v>1772.6343181818183</v>
      </c>
      <c r="C150" s="6">
        <v>6306.9230769230771</v>
      </c>
      <c r="D150" s="6">
        <v>16281.794871794873</v>
      </c>
      <c r="E150" s="6">
        <v>2940.4128205128209</v>
      </c>
      <c r="F150" s="6">
        <v>4272</v>
      </c>
      <c r="G150" s="6">
        <v>757.69230769230774</v>
      </c>
      <c r="H150" s="6">
        <v>2029.0353846153846</v>
      </c>
      <c r="I150" s="6">
        <v>50644</v>
      </c>
      <c r="J150" s="22">
        <v>0</v>
      </c>
      <c r="K150" s="22">
        <v>0</v>
      </c>
      <c r="L150" s="22">
        <v>0</v>
      </c>
      <c r="M150" s="22">
        <v>0</v>
      </c>
      <c r="N150" s="22">
        <v>1</v>
      </c>
      <c r="O150" s="22">
        <v>2026</v>
      </c>
    </row>
    <row r="151" spans="1:15" x14ac:dyDescent="0.3">
      <c r="A151" s="6" t="s">
        <v>16</v>
      </c>
      <c r="B151" s="6">
        <v>0</v>
      </c>
      <c r="C151" s="6">
        <v>6306.9230769230771</v>
      </c>
      <c r="D151" s="6">
        <v>16281.794871794873</v>
      </c>
      <c r="E151" s="6">
        <v>2940.4128205128209</v>
      </c>
      <c r="F151" s="6">
        <v>4272</v>
      </c>
      <c r="G151" s="6">
        <v>757.69230769230774</v>
      </c>
      <c r="H151" s="6">
        <v>2029.0353846153846</v>
      </c>
      <c r="I151" s="6">
        <v>50644</v>
      </c>
      <c r="J151" s="22">
        <v>0</v>
      </c>
      <c r="K151" s="22">
        <v>0</v>
      </c>
      <c r="L151" s="22">
        <v>0</v>
      </c>
      <c r="M151" s="22">
        <v>0</v>
      </c>
      <c r="N151" s="22">
        <v>1</v>
      </c>
      <c r="O151" s="22">
        <v>2026</v>
      </c>
    </row>
    <row r="152" spans="1:15" x14ac:dyDescent="0.3">
      <c r="A152" s="6" t="s">
        <v>17</v>
      </c>
      <c r="B152" s="6">
        <v>270</v>
      </c>
      <c r="C152" s="6">
        <v>6306.9230769230771</v>
      </c>
      <c r="D152" s="6">
        <v>16281.794871794873</v>
      </c>
      <c r="E152" s="6">
        <v>2940.4128205128209</v>
      </c>
      <c r="F152" s="6">
        <v>4272</v>
      </c>
      <c r="G152" s="6">
        <v>757.69230769230774</v>
      </c>
      <c r="H152" s="6">
        <v>2029.0353846153846</v>
      </c>
      <c r="I152" s="6">
        <v>50644</v>
      </c>
      <c r="J152" s="22">
        <v>0</v>
      </c>
      <c r="K152" s="22">
        <v>0</v>
      </c>
      <c r="L152" s="22">
        <v>0</v>
      </c>
      <c r="M152" s="22">
        <v>0</v>
      </c>
      <c r="N152" s="22">
        <v>1</v>
      </c>
      <c r="O152" s="22">
        <v>2026</v>
      </c>
    </row>
    <row r="153" spans="1:15" x14ac:dyDescent="0.3">
      <c r="A153" s="6" t="s">
        <v>18</v>
      </c>
      <c r="B153" s="6">
        <v>5133.6326022304829</v>
      </c>
      <c r="C153" s="6">
        <v>6306.9230769230771</v>
      </c>
      <c r="D153" s="6">
        <v>16281.794871794873</v>
      </c>
      <c r="E153" s="6">
        <v>2940.4128205128209</v>
      </c>
      <c r="F153" s="6">
        <v>4272</v>
      </c>
      <c r="G153" s="6">
        <v>757.69230769230774</v>
      </c>
      <c r="H153" s="6">
        <v>2029.0353846153846</v>
      </c>
      <c r="I153" s="6">
        <v>50644</v>
      </c>
      <c r="J153" s="22">
        <v>0</v>
      </c>
      <c r="K153" s="22">
        <v>0</v>
      </c>
      <c r="L153" s="22">
        <v>0</v>
      </c>
      <c r="M153" s="22">
        <v>0</v>
      </c>
      <c r="N153" s="22">
        <v>1</v>
      </c>
      <c r="O153" s="22">
        <v>2026</v>
      </c>
    </row>
    <row r="154" spans="1:15" x14ac:dyDescent="0.3">
      <c r="A154" s="6" t="s">
        <v>19</v>
      </c>
      <c r="B154" s="6">
        <v>49279.234045454548</v>
      </c>
      <c r="C154" s="6">
        <v>6306.9230769230771</v>
      </c>
      <c r="D154" s="6">
        <v>16281.794871794873</v>
      </c>
      <c r="E154" s="6">
        <v>2940.4128205128209</v>
      </c>
      <c r="F154" s="6">
        <v>4272</v>
      </c>
      <c r="G154" s="6">
        <v>757.69230769230774</v>
      </c>
      <c r="H154" s="6">
        <v>2029.0353846153846</v>
      </c>
      <c r="I154" s="6">
        <v>50644</v>
      </c>
      <c r="J154" s="22">
        <v>0</v>
      </c>
      <c r="K154" s="22">
        <v>0</v>
      </c>
      <c r="L154" s="22">
        <v>0</v>
      </c>
      <c r="M154" s="22">
        <v>0</v>
      </c>
      <c r="N154" s="22">
        <v>1</v>
      </c>
      <c r="O154" s="22">
        <v>2026</v>
      </c>
    </row>
    <row r="155" spans="1:15" x14ac:dyDescent="0.3">
      <c r="A155" s="6" t="s">
        <v>20</v>
      </c>
      <c r="B155" s="6">
        <v>810.57356877323423</v>
      </c>
      <c r="C155" s="6">
        <v>6306.9230769230771</v>
      </c>
      <c r="D155" s="6">
        <v>16281.794871794873</v>
      </c>
      <c r="E155" s="6">
        <v>2940.4128205128209</v>
      </c>
      <c r="F155" s="6">
        <v>4272</v>
      </c>
      <c r="G155" s="6">
        <v>757.69230769230774</v>
      </c>
      <c r="H155" s="6">
        <v>2029.0353846153846</v>
      </c>
      <c r="I155" s="6">
        <v>50644</v>
      </c>
      <c r="J155" s="22">
        <v>0</v>
      </c>
      <c r="K155" s="22">
        <v>0</v>
      </c>
      <c r="L155" s="22">
        <v>0</v>
      </c>
      <c r="M155" s="22">
        <v>0</v>
      </c>
      <c r="N155" s="22">
        <v>1</v>
      </c>
      <c r="O155" s="22">
        <v>2026</v>
      </c>
    </row>
    <row r="156" spans="1:15" x14ac:dyDescent="0.3">
      <c r="A156" s="6" t="s">
        <v>21</v>
      </c>
      <c r="B156" s="6">
        <v>29180.648475836431</v>
      </c>
      <c r="C156" s="6">
        <v>6306.9230769230771</v>
      </c>
      <c r="D156" s="6">
        <v>16281.794871794873</v>
      </c>
      <c r="E156" s="6">
        <v>2940.4128205128209</v>
      </c>
      <c r="F156" s="6">
        <v>4272</v>
      </c>
      <c r="G156" s="6">
        <v>757.69230769230774</v>
      </c>
      <c r="H156" s="6">
        <v>2029.0353846153846</v>
      </c>
      <c r="I156" s="6">
        <v>50644</v>
      </c>
      <c r="J156" s="22">
        <v>0</v>
      </c>
      <c r="K156" s="22">
        <v>0</v>
      </c>
      <c r="L156" s="22">
        <v>0</v>
      </c>
      <c r="M156" s="22">
        <v>0</v>
      </c>
      <c r="N156" s="22">
        <v>1</v>
      </c>
      <c r="O156" s="22">
        <v>2026</v>
      </c>
    </row>
    <row r="157" spans="1:15" x14ac:dyDescent="0.3">
      <c r="A157" s="6" t="s">
        <v>22</v>
      </c>
      <c r="B157" s="6">
        <v>0</v>
      </c>
      <c r="C157" s="6">
        <v>6306.9230769230771</v>
      </c>
      <c r="D157" s="6">
        <v>16281.794871794873</v>
      </c>
      <c r="E157" s="6">
        <v>2940.4128205128209</v>
      </c>
      <c r="F157" s="6">
        <v>4272</v>
      </c>
      <c r="G157" s="6">
        <v>757.69230769230774</v>
      </c>
      <c r="H157" s="6">
        <v>2029.0353846153846</v>
      </c>
      <c r="I157" s="6">
        <v>50644</v>
      </c>
      <c r="J157" s="22">
        <v>0</v>
      </c>
      <c r="K157" s="22">
        <v>0</v>
      </c>
      <c r="L157" s="22">
        <v>0</v>
      </c>
      <c r="M157" s="22">
        <v>0</v>
      </c>
      <c r="N157" s="22">
        <v>1</v>
      </c>
      <c r="O157" s="22">
        <v>2026</v>
      </c>
    </row>
    <row r="158" spans="1:15" x14ac:dyDescent="0.3">
      <c r="A158" s="6" t="s">
        <v>24</v>
      </c>
      <c r="B158" s="6">
        <v>26589.514772727274</v>
      </c>
      <c r="C158" s="6">
        <v>6306.9230769230771</v>
      </c>
      <c r="D158" s="6">
        <v>16281.794871794873</v>
      </c>
      <c r="E158" s="6">
        <v>2940.4128205128209</v>
      </c>
      <c r="F158" s="6">
        <v>4272</v>
      </c>
      <c r="G158" s="6">
        <v>757.69230769230774</v>
      </c>
      <c r="H158" s="6">
        <v>2029.0353846153846</v>
      </c>
      <c r="I158" s="6">
        <v>50644</v>
      </c>
      <c r="J158" s="22">
        <v>0</v>
      </c>
      <c r="K158" s="22">
        <v>0</v>
      </c>
      <c r="L158" s="22">
        <v>0</v>
      </c>
      <c r="M158" s="22">
        <v>0</v>
      </c>
      <c r="N158" s="22">
        <v>1</v>
      </c>
      <c r="O158" s="22">
        <v>2026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09765-7C3A-41F2-9E5A-5ACF93AE3D7C}">
  <dimension ref="A1:K25"/>
  <sheetViews>
    <sheetView workbookViewId="0">
      <selection activeCell="C28" sqref="C28"/>
    </sheetView>
  </sheetViews>
  <sheetFormatPr defaultRowHeight="14.4" x14ac:dyDescent="0.3"/>
  <cols>
    <col min="1" max="1" width="21.5546875" bestFit="1" customWidth="1"/>
    <col min="2" max="2" width="16.109375" bestFit="1" customWidth="1"/>
    <col min="3" max="3" width="16.77734375" bestFit="1" customWidth="1"/>
    <col min="4" max="4" width="15.6640625" bestFit="1" customWidth="1"/>
    <col min="5" max="5" width="14.6640625" bestFit="1" customWidth="1"/>
    <col min="6" max="6" width="21.5546875" bestFit="1" customWidth="1"/>
    <col min="7" max="7" width="20" bestFit="1" customWidth="1"/>
    <col min="8" max="8" width="13.5546875" bestFit="1" customWidth="1"/>
    <col min="9" max="9" width="12.33203125" bestFit="1" customWidth="1"/>
    <col min="10" max="10" width="13.44140625" bestFit="1" customWidth="1"/>
    <col min="11" max="11" width="11.77734375" customWidth="1"/>
  </cols>
  <sheetData>
    <row r="1" spans="1:11" x14ac:dyDescent="0.3">
      <c r="A1" s="3" t="s">
        <v>1</v>
      </c>
      <c r="B1" s="3" t="s">
        <v>2</v>
      </c>
      <c r="C1" s="3" t="s">
        <v>35</v>
      </c>
      <c r="D1" s="7" t="s">
        <v>36</v>
      </c>
      <c r="E1" s="4">
        <v>72681.429999999993</v>
      </c>
      <c r="G1" s="7" t="s">
        <v>0</v>
      </c>
      <c r="H1" s="6">
        <v>77995.91</v>
      </c>
      <c r="J1" s="2">
        <f>SUM(C2:C9)+E1+H1</f>
        <v>1232695</v>
      </c>
    </row>
    <row r="2" spans="1:11" x14ac:dyDescent="0.3">
      <c r="A2" t="s">
        <v>3</v>
      </c>
      <c r="B2">
        <v>81990</v>
      </c>
      <c r="C2" s="2">
        <v>81990</v>
      </c>
      <c r="D2" s="6" t="s">
        <v>28</v>
      </c>
      <c r="E2" s="6">
        <f>B13+B14+B18+B19+B21+B22</f>
        <v>269</v>
      </c>
      <c r="G2" s="6" t="s">
        <v>28</v>
      </c>
      <c r="H2" s="6">
        <f>5+139+75+1</f>
        <v>220</v>
      </c>
    </row>
    <row r="3" spans="1:11" x14ac:dyDescent="0.3">
      <c r="A3" t="s">
        <v>9</v>
      </c>
      <c r="B3">
        <f>61998+191998</f>
        <v>253996</v>
      </c>
      <c r="C3" s="2">
        <f t="shared" ref="C3:C5" si="0">B3/1.2</f>
        <v>211663.33333333334</v>
      </c>
      <c r="D3" s="6" t="s">
        <v>29</v>
      </c>
      <c r="E3" s="4">
        <f>E1/E2</f>
        <v>270.19118959107806</v>
      </c>
      <c r="G3" s="6" t="s">
        <v>31</v>
      </c>
      <c r="H3" s="4">
        <f>H1/H2</f>
        <v>354.52686363636366</v>
      </c>
    </row>
    <row r="4" spans="1:11" x14ac:dyDescent="0.3">
      <c r="A4" t="s">
        <v>6</v>
      </c>
      <c r="B4" s="1">
        <v>45870.44</v>
      </c>
      <c r="C4" s="2">
        <f>B4/1.2</f>
        <v>38225.366666666669</v>
      </c>
    </row>
    <row r="5" spans="1:11" x14ac:dyDescent="0.3">
      <c r="A5" t="s">
        <v>5</v>
      </c>
      <c r="B5" s="1">
        <v>66640</v>
      </c>
      <c r="C5" s="2">
        <f t="shared" si="0"/>
        <v>55533.333333333336</v>
      </c>
    </row>
    <row r="6" spans="1:11" x14ac:dyDescent="0.3">
      <c r="A6" t="s">
        <v>42</v>
      </c>
      <c r="B6">
        <f>7020+4000</f>
        <v>11020</v>
      </c>
      <c r="C6" s="2">
        <f>7020/1.2+4000</f>
        <v>9850</v>
      </c>
      <c r="D6" s="2"/>
      <c r="E6" s="2"/>
    </row>
    <row r="7" spans="1:11" x14ac:dyDescent="0.3">
      <c r="A7" t="s">
        <v>7</v>
      </c>
      <c r="B7">
        <v>25222</v>
      </c>
      <c r="C7" s="2">
        <v>21088.46</v>
      </c>
    </row>
    <row r="8" spans="1:11" x14ac:dyDescent="0.3">
      <c r="A8" t="s">
        <v>8</v>
      </c>
      <c r="B8">
        <v>5289</v>
      </c>
      <c r="C8" s="2">
        <v>5289</v>
      </c>
    </row>
    <row r="9" spans="1:11" x14ac:dyDescent="0.3">
      <c r="A9" t="s">
        <v>10</v>
      </c>
      <c r="B9">
        <v>790053.8</v>
      </c>
      <c r="C9" s="2">
        <f>B9/1.2</f>
        <v>658378.16666666674</v>
      </c>
    </row>
    <row r="11" spans="1:11" x14ac:dyDescent="0.3">
      <c r="A11" s="13" t="s">
        <v>33</v>
      </c>
      <c r="B11" s="13" t="s">
        <v>23</v>
      </c>
      <c r="C11" s="13" t="s">
        <v>25</v>
      </c>
      <c r="D11" s="13" t="s">
        <v>30</v>
      </c>
      <c r="E11" s="13" t="s">
        <v>34</v>
      </c>
      <c r="F11" s="14" t="s">
        <v>37</v>
      </c>
      <c r="G11" s="14" t="s">
        <v>6</v>
      </c>
      <c r="H11" s="13" t="s">
        <v>38</v>
      </c>
      <c r="I11" s="13" t="s">
        <v>39</v>
      </c>
      <c r="J11" s="13" t="s">
        <v>40</v>
      </c>
      <c r="K11" s="13" t="s">
        <v>41</v>
      </c>
    </row>
    <row r="12" spans="1:11" x14ac:dyDescent="0.3">
      <c r="A12" s="8" t="s">
        <v>11</v>
      </c>
      <c r="B12" s="8">
        <v>0</v>
      </c>
      <c r="C12" s="8" t="s">
        <v>26</v>
      </c>
      <c r="D12" s="9">
        <v>0</v>
      </c>
      <c r="E12" s="9">
        <f>C2/13</f>
        <v>6306.9230769230771</v>
      </c>
      <c r="F12" s="10">
        <f>C3/13</f>
        <v>16281.794871794873</v>
      </c>
      <c r="G12" s="11">
        <f>C4/13</f>
        <v>2940.4128205128209</v>
      </c>
      <c r="H12" s="9">
        <f>C5/13</f>
        <v>4271.7948717948721</v>
      </c>
      <c r="I12" s="9">
        <f>C6/13</f>
        <v>757.69230769230774</v>
      </c>
      <c r="J12" s="9">
        <f>(C7+C8)/13</f>
        <v>2029.0353846153846</v>
      </c>
      <c r="K12" s="4">
        <f>C9/13</f>
        <v>50644.474358974367</v>
      </c>
    </row>
    <row r="13" spans="1:11" x14ac:dyDescent="0.3">
      <c r="A13" s="8" t="s">
        <v>12</v>
      </c>
      <c r="B13" s="8">
        <v>72</v>
      </c>
      <c r="C13" s="8" t="s">
        <v>4</v>
      </c>
      <c r="D13" s="9">
        <f>B13*E3</f>
        <v>19453.76565055762</v>
      </c>
      <c r="E13" s="9">
        <v>6306.9230769230771</v>
      </c>
      <c r="F13" s="10">
        <v>16281.794871794873</v>
      </c>
      <c r="G13" s="11">
        <v>2940.4128205128209</v>
      </c>
      <c r="H13" s="9">
        <v>4272</v>
      </c>
      <c r="I13" s="9">
        <v>757.69230769230774</v>
      </c>
      <c r="J13" s="9">
        <v>2029.0353846153846</v>
      </c>
      <c r="K13" s="4">
        <v>50644</v>
      </c>
    </row>
    <row r="14" spans="1:11" x14ac:dyDescent="0.3">
      <c r="A14" s="8" t="s">
        <v>13</v>
      </c>
      <c r="B14" s="8">
        <v>66</v>
      </c>
      <c r="C14" s="8" t="s">
        <v>4</v>
      </c>
      <c r="D14" s="9">
        <f>B14*E3</f>
        <v>17832.618513011152</v>
      </c>
      <c r="E14" s="9">
        <v>6306.9230769230771</v>
      </c>
      <c r="F14" s="10">
        <v>16281.794871794873</v>
      </c>
      <c r="G14" s="11">
        <v>2940.4128205128209</v>
      </c>
      <c r="H14" s="9">
        <v>4272</v>
      </c>
      <c r="I14" s="9">
        <v>757.69230769230774</v>
      </c>
      <c r="J14" s="9">
        <v>2029.0353846153846</v>
      </c>
      <c r="K14" s="4">
        <v>50644</v>
      </c>
    </row>
    <row r="15" spans="1:11" x14ac:dyDescent="0.3">
      <c r="A15" s="8" t="s">
        <v>14</v>
      </c>
      <c r="B15" s="8">
        <v>1</v>
      </c>
      <c r="C15" s="12" t="s">
        <v>32</v>
      </c>
      <c r="D15" s="9">
        <f>B15*H3</f>
        <v>354.52686363636366</v>
      </c>
      <c r="E15" s="9">
        <v>6306.9230769230771</v>
      </c>
      <c r="F15" s="10">
        <v>16281.794871794873</v>
      </c>
      <c r="G15" s="11">
        <v>2940.4128205128209</v>
      </c>
      <c r="H15" s="9">
        <v>4272</v>
      </c>
      <c r="I15" s="9">
        <v>757.69230769230774</v>
      </c>
      <c r="J15" s="9">
        <v>2029.0353846153846</v>
      </c>
      <c r="K15" s="4">
        <v>50644</v>
      </c>
    </row>
    <row r="16" spans="1:11" x14ac:dyDescent="0.3">
      <c r="A16" s="8" t="s">
        <v>15</v>
      </c>
      <c r="B16" s="8">
        <v>5</v>
      </c>
      <c r="C16" s="8" t="s">
        <v>27</v>
      </c>
      <c r="D16" s="9">
        <f>B16*H3</f>
        <v>1772.6343181818183</v>
      </c>
      <c r="E16" s="9">
        <v>6306.9230769230771</v>
      </c>
      <c r="F16" s="10">
        <v>16281.794871794873</v>
      </c>
      <c r="G16" s="11">
        <v>2940.4128205128209</v>
      </c>
      <c r="H16" s="9">
        <v>4272</v>
      </c>
      <c r="I16" s="9">
        <v>757.69230769230774</v>
      </c>
      <c r="J16" s="9">
        <v>2029.0353846153846</v>
      </c>
      <c r="K16" s="4">
        <v>50644</v>
      </c>
    </row>
    <row r="17" spans="1:11" x14ac:dyDescent="0.3">
      <c r="A17" s="8" t="s">
        <v>16</v>
      </c>
      <c r="B17" s="8">
        <v>0</v>
      </c>
      <c r="C17" s="8" t="s">
        <v>26</v>
      </c>
      <c r="D17" s="9">
        <v>0</v>
      </c>
      <c r="E17" s="9">
        <v>6306.9230769230771</v>
      </c>
      <c r="F17" s="10">
        <v>16281.794871794873</v>
      </c>
      <c r="G17" s="11">
        <v>2940.4128205128209</v>
      </c>
      <c r="H17" s="9">
        <v>4272</v>
      </c>
      <c r="I17" s="9">
        <v>757.69230769230774</v>
      </c>
      <c r="J17" s="9">
        <v>2029.0353846153846</v>
      </c>
      <c r="K17" s="4">
        <v>50644</v>
      </c>
    </row>
    <row r="18" spans="1:11" x14ac:dyDescent="0.3">
      <c r="A18" s="8" t="s">
        <v>17</v>
      </c>
      <c r="B18" s="8">
        <v>1</v>
      </c>
      <c r="C18" s="8" t="s">
        <v>4</v>
      </c>
      <c r="D18" s="9">
        <v>270</v>
      </c>
      <c r="E18" s="9">
        <v>6306.9230769230771</v>
      </c>
      <c r="F18" s="10">
        <v>16281.794871794873</v>
      </c>
      <c r="G18" s="11">
        <v>2940.4128205128209</v>
      </c>
      <c r="H18" s="9">
        <v>4272</v>
      </c>
      <c r="I18" s="9">
        <v>757.69230769230774</v>
      </c>
      <c r="J18" s="9">
        <v>2029.0353846153846</v>
      </c>
      <c r="K18" s="4">
        <v>50644</v>
      </c>
    </row>
    <row r="19" spans="1:11" x14ac:dyDescent="0.3">
      <c r="A19" s="8" t="s">
        <v>18</v>
      </c>
      <c r="B19" s="8">
        <v>19</v>
      </c>
      <c r="C19" s="8" t="s">
        <v>4</v>
      </c>
      <c r="D19" s="9">
        <f>B19*E3</f>
        <v>5133.6326022304829</v>
      </c>
      <c r="E19" s="9">
        <v>6306.9230769230771</v>
      </c>
      <c r="F19" s="10">
        <v>16281.794871794873</v>
      </c>
      <c r="G19" s="11">
        <v>2940.4128205128209</v>
      </c>
      <c r="H19" s="9">
        <v>4272</v>
      </c>
      <c r="I19" s="9">
        <v>757.69230769230774</v>
      </c>
      <c r="J19" s="9">
        <v>2029.0353846153846</v>
      </c>
      <c r="K19" s="4">
        <v>50644</v>
      </c>
    </row>
    <row r="20" spans="1:11" x14ac:dyDescent="0.3">
      <c r="A20" s="8" t="s">
        <v>19</v>
      </c>
      <c r="B20" s="8">
        <v>139</v>
      </c>
      <c r="C20" s="8" t="s">
        <v>27</v>
      </c>
      <c r="D20" s="9">
        <f>B20*H3</f>
        <v>49279.234045454548</v>
      </c>
      <c r="E20" s="9">
        <v>6306.9230769230771</v>
      </c>
      <c r="F20" s="10">
        <v>16281.794871794873</v>
      </c>
      <c r="G20" s="11">
        <v>2940.4128205128209</v>
      </c>
      <c r="H20" s="9">
        <v>4272</v>
      </c>
      <c r="I20" s="9">
        <v>757.69230769230774</v>
      </c>
      <c r="J20" s="9">
        <v>2029.0353846153846</v>
      </c>
      <c r="K20" s="4">
        <v>50644</v>
      </c>
    </row>
    <row r="21" spans="1:11" x14ac:dyDescent="0.3">
      <c r="A21" s="8" t="s">
        <v>20</v>
      </c>
      <c r="B21" s="8">
        <v>3</v>
      </c>
      <c r="C21" s="8" t="s">
        <v>4</v>
      </c>
      <c r="D21" s="9">
        <f>B21*E3</f>
        <v>810.57356877323423</v>
      </c>
      <c r="E21" s="9">
        <v>6306.9230769230771</v>
      </c>
      <c r="F21" s="10">
        <v>16281.794871794873</v>
      </c>
      <c r="G21" s="11">
        <v>2940.4128205128209</v>
      </c>
      <c r="H21" s="9">
        <v>4272</v>
      </c>
      <c r="I21" s="9">
        <v>757.69230769230774</v>
      </c>
      <c r="J21" s="9">
        <v>2029.0353846153846</v>
      </c>
      <c r="K21" s="4">
        <v>50644</v>
      </c>
    </row>
    <row r="22" spans="1:11" x14ac:dyDescent="0.3">
      <c r="A22" s="8" t="s">
        <v>21</v>
      </c>
      <c r="B22" s="8">
        <v>108</v>
      </c>
      <c r="C22" s="8" t="s">
        <v>4</v>
      </c>
      <c r="D22" s="9">
        <f>B22*E3</f>
        <v>29180.648475836431</v>
      </c>
      <c r="E22" s="9">
        <v>6306.9230769230771</v>
      </c>
      <c r="F22" s="10">
        <v>16281.794871794873</v>
      </c>
      <c r="G22" s="11">
        <v>2940.4128205128209</v>
      </c>
      <c r="H22" s="9">
        <v>4272</v>
      </c>
      <c r="I22" s="9">
        <v>757.69230769230774</v>
      </c>
      <c r="J22" s="9">
        <v>2029.0353846153846</v>
      </c>
      <c r="K22" s="4">
        <v>50644</v>
      </c>
    </row>
    <row r="23" spans="1:11" x14ac:dyDescent="0.3">
      <c r="A23" s="8" t="s">
        <v>22</v>
      </c>
      <c r="B23" s="8">
        <v>0</v>
      </c>
      <c r="C23" s="8" t="s">
        <v>26</v>
      </c>
      <c r="D23" s="9">
        <v>0</v>
      </c>
      <c r="E23" s="9">
        <v>6306.9230769230771</v>
      </c>
      <c r="F23" s="10">
        <v>16281.794871794873</v>
      </c>
      <c r="G23" s="11">
        <v>2940.4128205128209</v>
      </c>
      <c r="H23" s="9">
        <v>4272</v>
      </c>
      <c r="I23" s="9">
        <v>757.69230769230774</v>
      </c>
      <c r="J23" s="9">
        <v>2029.0353846153846</v>
      </c>
      <c r="K23" s="4">
        <v>50644</v>
      </c>
    </row>
    <row r="24" spans="1:11" x14ac:dyDescent="0.3">
      <c r="A24" s="8" t="s">
        <v>24</v>
      </c>
      <c r="B24" s="8">
        <v>75</v>
      </c>
      <c r="C24" s="8" t="s">
        <v>27</v>
      </c>
      <c r="D24" s="9">
        <f>B24*H3</f>
        <v>26589.514772727274</v>
      </c>
      <c r="E24" s="9">
        <v>6306.9230769230771</v>
      </c>
      <c r="F24" s="10">
        <v>16281.794871794873</v>
      </c>
      <c r="G24" s="11">
        <v>2940.4128205128209</v>
      </c>
      <c r="H24" s="9">
        <v>4272</v>
      </c>
      <c r="I24" s="9">
        <v>757.69230769230774</v>
      </c>
      <c r="J24" s="9">
        <v>2029.0353846153846</v>
      </c>
      <c r="K24" s="4">
        <v>50644</v>
      </c>
    </row>
    <row r="25" spans="1:11" x14ac:dyDescent="0.3">
      <c r="D25" s="2"/>
      <c r="J25" s="2"/>
    </row>
  </sheetData>
  <autoFilter ref="C11:C24" xr:uid="{BD609765-7C3A-41F2-9E5A-5ACF93AE3D7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D42D4-E9A7-4754-995A-7DE1D8A80FFA}">
  <dimension ref="A1:M38"/>
  <sheetViews>
    <sheetView zoomScale="83" zoomScaleNormal="83" workbookViewId="0">
      <selection activeCell="D14" sqref="D14:M25"/>
    </sheetView>
  </sheetViews>
  <sheetFormatPr defaultRowHeight="14.4" x14ac:dyDescent="0.3"/>
  <cols>
    <col min="1" max="1" width="21.5546875" bestFit="1" customWidth="1"/>
    <col min="2" max="2" width="16.109375" bestFit="1" customWidth="1"/>
    <col min="3" max="3" width="16.77734375" bestFit="1" customWidth="1"/>
    <col min="4" max="4" width="15.6640625" bestFit="1" customWidth="1"/>
    <col min="5" max="5" width="22.33203125" bestFit="1" customWidth="1"/>
    <col min="6" max="6" width="21.5546875" bestFit="1" customWidth="1"/>
    <col min="7" max="7" width="20" bestFit="1" customWidth="1"/>
    <col min="8" max="8" width="13.5546875" bestFit="1" customWidth="1"/>
    <col min="9" max="9" width="12.33203125" bestFit="1" customWidth="1"/>
    <col min="10" max="10" width="13.44140625" bestFit="1" customWidth="1"/>
    <col min="11" max="11" width="11.77734375" customWidth="1"/>
    <col min="12" max="12" width="16.77734375" bestFit="1" customWidth="1"/>
    <col min="13" max="13" width="17.6640625" bestFit="1" customWidth="1"/>
  </cols>
  <sheetData>
    <row r="1" spans="1:13" x14ac:dyDescent="0.3">
      <c r="A1" s="3" t="s">
        <v>1</v>
      </c>
      <c r="B1" s="3" t="s">
        <v>2</v>
      </c>
      <c r="C1" s="3" t="s">
        <v>35</v>
      </c>
      <c r="D1" s="7" t="s">
        <v>36</v>
      </c>
      <c r="E1" s="4">
        <f>180176+100128</f>
        <v>280304</v>
      </c>
      <c r="G1" s="7" t="s">
        <v>0</v>
      </c>
      <c r="H1" s="6">
        <v>48042</v>
      </c>
      <c r="J1" s="2">
        <f>SUM(C2:C9)+E1+H1+C10+C11</f>
        <v>1458599</v>
      </c>
    </row>
    <row r="2" spans="1:13" x14ac:dyDescent="0.3">
      <c r="A2" t="s">
        <v>3</v>
      </c>
      <c r="C2" s="2">
        <v>73500</v>
      </c>
      <c r="D2" s="6" t="s">
        <v>28</v>
      </c>
      <c r="E2" s="6">
        <f>B15+B16+B20+B21+B23+B24</f>
        <v>0</v>
      </c>
      <c r="G2" s="6" t="s">
        <v>28</v>
      </c>
      <c r="H2" s="6"/>
    </row>
    <row r="3" spans="1:13" x14ac:dyDescent="0.3">
      <c r="A3" t="s">
        <v>9</v>
      </c>
      <c r="C3" s="2">
        <v>0</v>
      </c>
      <c r="D3" s="6" t="s">
        <v>29</v>
      </c>
      <c r="E3" s="4" t="e">
        <f>E1/E2</f>
        <v>#DIV/0!</v>
      </c>
      <c r="G3" s="6" t="s">
        <v>31</v>
      </c>
      <c r="H3" s="4" t="e">
        <f>H1/H2</f>
        <v>#DIV/0!</v>
      </c>
    </row>
    <row r="4" spans="1:13" x14ac:dyDescent="0.3">
      <c r="A4" t="s">
        <v>6</v>
      </c>
      <c r="B4" s="1"/>
      <c r="C4" s="2">
        <v>117638</v>
      </c>
    </row>
    <row r="5" spans="1:13" x14ac:dyDescent="0.3">
      <c r="A5" t="s">
        <v>5</v>
      </c>
      <c r="B5" s="1"/>
      <c r="C5" s="2">
        <v>0</v>
      </c>
    </row>
    <row r="6" spans="1:13" x14ac:dyDescent="0.3">
      <c r="A6" t="s">
        <v>42</v>
      </c>
      <c r="C6" s="2">
        <v>43467</v>
      </c>
      <c r="D6" s="2"/>
      <c r="E6" s="2"/>
    </row>
    <row r="7" spans="1:13" x14ac:dyDescent="0.3">
      <c r="A7" t="s">
        <v>7</v>
      </c>
      <c r="C7" s="2">
        <v>23826</v>
      </c>
      <c r="E7" t="s">
        <v>53</v>
      </c>
      <c r="F7" s="2">
        <f>E1+H1</f>
        <v>328346</v>
      </c>
    </row>
    <row r="8" spans="1:13" x14ac:dyDescent="0.3">
      <c r="A8" t="s">
        <v>8</v>
      </c>
      <c r="C8" s="2">
        <v>0</v>
      </c>
      <c r="E8" t="s">
        <v>54</v>
      </c>
      <c r="F8">
        <f>SUM(C14:C25)</f>
        <v>1253</v>
      </c>
    </row>
    <row r="9" spans="1:13" x14ac:dyDescent="0.3">
      <c r="A9" t="s">
        <v>10</v>
      </c>
      <c r="C9" s="2">
        <f>549548+30434</f>
        <v>579982</v>
      </c>
      <c r="E9" t="s">
        <v>55</v>
      </c>
      <c r="F9" s="2">
        <f>F7/F8</f>
        <v>262.04788507581804</v>
      </c>
    </row>
    <row r="10" spans="1:13" x14ac:dyDescent="0.3">
      <c r="A10" t="s">
        <v>45</v>
      </c>
      <c r="C10" s="2">
        <v>115440</v>
      </c>
    </row>
    <row r="11" spans="1:13" x14ac:dyDescent="0.3">
      <c r="A11" t="s">
        <v>46</v>
      </c>
      <c r="C11" s="2">
        <v>176400</v>
      </c>
    </row>
    <row r="13" spans="1:13" x14ac:dyDescent="0.3">
      <c r="A13" s="13" t="s">
        <v>33</v>
      </c>
      <c r="B13" s="13" t="s">
        <v>23</v>
      </c>
      <c r="C13" s="13" t="s">
        <v>25</v>
      </c>
      <c r="D13" s="13" t="s">
        <v>30</v>
      </c>
      <c r="E13" s="13" t="s">
        <v>34</v>
      </c>
      <c r="F13" s="14" t="s">
        <v>37</v>
      </c>
      <c r="G13" s="14" t="s">
        <v>6</v>
      </c>
      <c r="H13" s="13" t="s">
        <v>38</v>
      </c>
      <c r="I13" s="13" t="s">
        <v>39</v>
      </c>
      <c r="J13" s="13" t="s">
        <v>40</v>
      </c>
      <c r="K13" s="15" t="s">
        <v>41</v>
      </c>
      <c r="L13" s="17" t="s">
        <v>45</v>
      </c>
      <c r="M13" s="13" t="s">
        <v>46</v>
      </c>
    </row>
    <row r="14" spans="1:13" x14ac:dyDescent="0.3">
      <c r="A14" s="8" t="s">
        <v>11</v>
      </c>
      <c r="B14" s="8"/>
      <c r="C14" s="6">
        <v>223</v>
      </c>
      <c r="D14" s="9">
        <f>C14*262</f>
        <v>58426</v>
      </c>
      <c r="E14" s="9">
        <f>$C$2/11</f>
        <v>6681.818181818182</v>
      </c>
      <c r="F14" s="10">
        <f>$C$3/13</f>
        <v>0</v>
      </c>
      <c r="G14" s="11">
        <f>$C$4/11</f>
        <v>10694.363636363636</v>
      </c>
      <c r="H14" s="9">
        <f>$C$5/13</f>
        <v>0</v>
      </c>
      <c r="I14" s="9">
        <f>$C$6/11</f>
        <v>3951.5454545454545</v>
      </c>
      <c r="J14" s="9">
        <f>($C$7+$C$8)/11</f>
        <v>2166</v>
      </c>
      <c r="K14" s="16">
        <f>$C$9/11</f>
        <v>52725.63636363636</v>
      </c>
      <c r="L14" s="4">
        <f>$C$10/11</f>
        <v>10494.545454545454</v>
      </c>
      <c r="M14" s="4">
        <f>$C$11/11</f>
        <v>16036.363636363636</v>
      </c>
    </row>
    <row r="15" spans="1:13" x14ac:dyDescent="0.3">
      <c r="A15" s="8" t="s">
        <v>12</v>
      </c>
      <c r="B15" s="8"/>
      <c r="C15" s="6">
        <v>285</v>
      </c>
      <c r="D15" s="9">
        <f t="shared" ref="D15:D25" si="0">C15*262</f>
        <v>74670</v>
      </c>
      <c r="E15" s="9">
        <f t="shared" ref="E15:E25" si="1">$C$2/11</f>
        <v>6681.818181818182</v>
      </c>
      <c r="F15" s="10">
        <f t="shared" ref="F15:F25" si="2">$C$3/13</f>
        <v>0</v>
      </c>
      <c r="G15" s="11">
        <f t="shared" ref="G15:G25" si="3">$C$4/11</f>
        <v>10694.363636363636</v>
      </c>
      <c r="H15" s="9">
        <f t="shared" ref="H15:H25" si="4">$C$5/13</f>
        <v>0</v>
      </c>
      <c r="I15" s="9">
        <f t="shared" ref="I15:I25" si="5">$C$6/11</f>
        <v>3951.5454545454545</v>
      </c>
      <c r="J15" s="9">
        <f t="shared" ref="J15:J25" si="6">($C$7+$C$8)/11</f>
        <v>2166</v>
      </c>
      <c r="K15" s="16">
        <f t="shared" ref="K15:K25" si="7">$C$9/11</f>
        <v>52725.63636363636</v>
      </c>
      <c r="L15" s="4">
        <f t="shared" ref="L15:L25" si="8">$C$10/11</f>
        <v>10494.545454545454</v>
      </c>
      <c r="M15" s="4">
        <f t="shared" ref="M15:M25" si="9">$C$11/11</f>
        <v>16036.363636363636</v>
      </c>
    </row>
    <row r="16" spans="1:13" x14ac:dyDescent="0.3">
      <c r="A16" s="8" t="s">
        <v>13</v>
      </c>
      <c r="B16" s="8"/>
      <c r="C16" s="6">
        <v>151</v>
      </c>
      <c r="D16" s="9">
        <f t="shared" si="0"/>
        <v>39562</v>
      </c>
      <c r="E16" s="9">
        <f t="shared" si="1"/>
        <v>6681.818181818182</v>
      </c>
      <c r="F16" s="10">
        <f t="shared" si="2"/>
        <v>0</v>
      </c>
      <c r="G16" s="11">
        <f t="shared" si="3"/>
        <v>10694.363636363636</v>
      </c>
      <c r="H16" s="9">
        <f t="shared" si="4"/>
        <v>0</v>
      </c>
      <c r="I16" s="9">
        <f t="shared" si="5"/>
        <v>3951.5454545454545</v>
      </c>
      <c r="J16" s="9">
        <f t="shared" si="6"/>
        <v>2166</v>
      </c>
      <c r="K16" s="16">
        <f t="shared" si="7"/>
        <v>52725.63636363636</v>
      </c>
      <c r="L16" s="4">
        <f t="shared" si="8"/>
        <v>10494.545454545454</v>
      </c>
      <c r="M16" s="4">
        <f t="shared" si="9"/>
        <v>16036.363636363636</v>
      </c>
    </row>
    <row r="17" spans="1:13" x14ac:dyDescent="0.3">
      <c r="A17" s="8" t="s">
        <v>14</v>
      </c>
      <c r="B17" s="8"/>
      <c r="C17" s="12"/>
      <c r="D17" s="9">
        <f t="shared" si="0"/>
        <v>0</v>
      </c>
      <c r="E17" s="9">
        <v>0</v>
      </c>
      <c r="F17" s="10">
        <f t="shared" si="2"/>
        <v>0</v>
      </c>
      <c r="G17" s="11">
        <v>0</v>
      </c>
      <c r="H17" s="9">
        <f t="shared" si="4"/>
        <v>0</v>
      </c>
      <c r="I17" s="9">
        <v>0</v>
      </c>
      <c r="J17" s="9">
        <v>0</v>
      </c>
      <c r="K17" s="16">
        <v>0</v>
      </c>
      <c r="L17" s="4">
        <v>0</v>
      </c>
      <c r="M17" s="4">
        <v>0</v>
      </c>
    </row>
    <row r="18" spans="1:13" x14ac:dyDescent="0.3">
      <c r="A18" s="8" t="s">
        <v>15</v>
      </c>
      <c r="B18" s="8"/>
      <c r="C18" s="6">
        <v>8</v>
      </c>
      <c r="D18" s="9">
        <f t="shared" si="0"/>
        <v>2096</v>
      </c>
      <c r="E18" s="9">
        <f t="shared" si="1"/>
        <v>6681.818181818182</v>
      </c>
      <c r="F18" s="10">
        <f t="shared" si="2"/>
        <v>0</v>
      </c>
      <c r="G18" s="11">
        <f t="shared" si="3"/>
        <v>10694.363636363636</v>
      </c>
      <c r="H18" s="9">
        <f t="shared" si="4"/>
        <v>0</v>
      </c>
      <c r="I18" s="9">
        <f t="shared" si="5"/>
        <v>3951.5454545454545</v>
      </c>
      <c r="J18" s="9">
        <f t="shared" si="6"/>
        <v>2166</v>
      </c>
      <c r="K18" s="16">
        <f t="shared" si="7"/>
        <v>52725.63636363636</v>
      </c>
      <c r="L18" s="4">
        <f t="shared" si="8"/>
        <v>10494.545454545454</v>
      </c>
      <c r="M18" s="4">
        <f t="shared" si="9"/>
        <v>16036.363636363636</v>
      </c>
    </row>
    <row r="19" spans="1:13" x14ac:dyDescent="0.3">
      <c r="A19" s="8" t="s">
        <v>16</v>
      </c>
      <c r="B19" s="8"/>
      <c r="C19" s="6">
        <v>12</v>
      </c>
      <c r="D19" s="9">
        <f t="shared" si="0"/>
        <v>3144</v>
      </c>
      <c r="E19" s="9">
        <f t="shared" si="1"/>
        <v>6681.818181818182</v>
      </c>
      <c r="F19" s="10">
        <f t="shared" si="2"/>
        <v>0</v>
      </c>
      <c r="G19" s="11">
        <f t="shared" si="3"/>
        <v>10694.363636363636</v>
      </c>
      <c r="H19" s="9">
        <f t="shared" si="4"/>
        <v>0</v>
      </c>
      <c r="I19" s="9">
        <f t="shared" si="5"/>
        <v>3951.5454545454545</v>
      </c>
      <c r="J19" s="9">
        <f t="shared" si="6"/>
        <v>2166</v>
      </c>
      <c r="K19" s="16">
        <f t="shared" si="7"/>
        <v>52725.63636363636</v>
      </c>
      <c r="L19" s="4">
        <f t="shared" si="8"/>
        <v>10494.545454545454</v>
      </c>
      <c r="M19" s="4">
        <f t="shared" si="9"/>
        <v>16036.363636363636</v>
      </c>
    </row>
    <row r="20" spans="1:13" x14ac:dyDescent="0.3">
      <c r="A20" s="8" t="s">
        <v>17</v>
      </c>
      <c r="B20" s="8"/>
      <c r="C20" s="6">
        <v>150</v>
      </c>
      <c r="D20" s="9">
        <f t="shared" si="0"/>
        <v>39300</v>
      </c>
      <c r="E20" s="9">
        <f t="shared" si="1"/>
        <v>6681.818181818182</v>
      </c>
      <c r="F20" s="10">
        <f t="shared" si="2"/>
        <v>0</v>
      </c>
      <c r="G20" s="11">
        <f t="shared" si="3"/>
        <v>10694.363636363636</v>
      </c>
      <c r="H20" s="9">
        <f t="shared" si="4"/>
        <v>0</v>
      </c>
      <c r="I20" s="9">
        <f t="shared" si="5"/>
        <v>3951.5454545454545</v>
      </c>
      <c r="J20" s="9">
        <f t="shared" si="6"/>
        <v>2166</v>
      </c>
      <c r="K20" s="16">
        <f t="shared" si="7"/>
        <v>52725.63636363636</v>
      </c>
      <c r="L20" s="4">
        <f t="shared" si="8"/>
        <v>10494.545454545454</v>
      </c>
      <c r="M20" s="4">
        <f t="shared" si="9"/>
        <v>16036.363636363636</v>
      </c>
    </row>
    <row r="21" spans="1:13" x14ac:dyDescent="0.3">
      <c r="A21" s="8" t="s">
        <v>18</v>
      </c>
      <c r="B21" s="8"/>
      <c r="C21" s="6">
        <v>64</v>
      </c>
      <c r="D21" s="9">
        <f t="shared" si="0"/>
        <v>16768</v>
      </c>
      <c r="E21" s="9">
        <f t="shared" si="1"/>
        <v>6681.818181818182</v>
      </c>
      <c r="F21" s="10">
        <f t="shared" si="2"/>
        <v>0</v>
      </c>
      <c r="G21" s="11">
        <f t="shared" si="3"/>
        <v>10694.363636363636</v>
      </c>
      <c r="H21" s="9">
        <f t="shared" si="4"/>
        <v>0</v>
      </c>
      <c r="I21" s="9">
        <f t="shared" si="5"/>
        <v>3951.5454545454545</v>
      </c>
      <c r="J21" s="9">
        <f t="shared" si="6"/>
        <v>2166</v>
      </c>
      <c r="K21" s="16">
        <f t="shared" si="7"/>
        <v>52725.63636363636</v>
      </c>
      <c r="L21" s="4">
        <f t="shared" si="8"/>
        <v>10494.545454545454</v>
      </c>
      <c r="M21" s="4">
        <f t="shared" si="9"/>
        <v>16036.363636363636</v>
      </c>
    </row>
    <row r="22" spans="1:13" x14ac:dyDescent="0.3">
      <c r="A22" s="8" t="s">
        <v>19</v>
      </c>
      <c r="B22" s="8"/>
      <c r="C22" s="6">
        <v>201</v>
      </c>
      <c r="D22" s="9">
        <f t="shared" si="0"/>
        <v>52662</v>
      </c>
      <c r="E22" s="9">
        <f t="shared" si="1"/>
        <v>6681.818181818182</v>
      </c>
      <c r="F22" s="10">
        <f t="shared" si="2"/>
        <v>0</v>
      </c>
      <c r="G22" s="11">
        <f t="shared" si="3"/>
        <v>10694.363636363636</v>
      </c>
      <c r="H22" s="9">
        <f t="shared" si="4"/>
        <v>0</v>
      </c>
      <c r="I22" s="9">
        <f t="shared" si="5"/>
        <v>3951.5454545454545</v>
      </c>
      <c r="J22" s="9">
        <f t="shared" si="6"/>
        <v>2166</v>
      </c>
      <c r="K22" s="16">
        <f t="shared" si="7"/>
        <v>52725.63636363636</v>
      </c>
      <c r="L22" s="4">
        <f t="shared" si="8"/>
        <v>10494.545454545454</v>
      </c>
      <c r="M22" s="4">
        <f t="shared" si="9"/>
        <v>16036.363636363636</v>
      </c>
    </row>
    <row r="23" spans="1:13" x14ac:dyDescent="0.3">
      <c r="A23" s="8" t="s">
        <v>20</v>
      </c>
      <c r="B23" s="8"/>
      <c r="C23" s="6">
        <v>4</v>
      </c>
      <c r="D23" s="9">
        <f t="shared" si="0"/>
        <v>1048</v>
      </c>
      <c r="E23" s="9">
        <f t="shared" si="1"/>
        <v>6681.818181818182</v>
      </c>
      <c r="F23" s="10">
        <f t="shared" si="2"/>
        <v>0</v>
      </c>
      <c r="G23" s="11">
        <f t="shared" si="3"/>
        <v>10694.363636363636</v>
      </c>
      <c r="H23" s="9">
        <f t="shared" si="4"/>
        <v>0</v>
      </c>
      <c r="I23" s="9">
        <f t="shared" si="5"/>
        <v>3951.5454545454545</v>
      </c>
      <c r="J23" s="9">
        <f t="shared" si="6"/>
        <v>2166</v>
      </c>
      <c r="K23" s="16">
        <f t="shared" si="7"/>
        <v>52725.63636363636</v>
      </c>
      <c r="L23" s="4">
        <f t="shared" si="8"/>
        <v>10494.545454545454</v>
      </c>
      <c r="M23" s="4">
        <f t="shared" si="9"/>
        <v>16036.363636363636</v>
      </c>
    </row>
    <row r="24" spans="1:13" x14ac:dyDescent="0.3">
      <c r="A24" s="8" t="s">
        <v>21</v>
      </c>
      <c r="B24" s="8"/>
      <c r="C24" s="6">
        <v>154</v>
      </c>
      <c r="D24" s="9">
        <f t="shared" si="0"/>
        <v>40348</v>
      </c>
      <c r="E24" s="9">
        <f t="shared" si="1"/>
        <v>6681.818181818182</v>
      </c>
      <c r="F24" s="10">
        <f t="shared" si="2"/>
        <v>0</v>
      </c>
      <c r="G24" s="11">
        <f t="shared" si="3"/>
        <v>10694.363636363636</v>
      </c>
      <c r="H24" s="9">
        <f t="shared" si="4"/>
        <v>0</v>
      </c>
      <c r="I24" s="9">
        <f t="shared" si="5"/>
        <v>3951.5454545454545</v>
      </c>
      <c r="J24" s="9">
        <f t="shared" si="6"/>
        <v>2166</v>
      </c>
      <c r="K24" s="16">
        <f t="shared" si="7"/>
        <v>52725.63636363636</v>
      </c>
      <c r="L24" s="4">
        <f t="shared" si="8"/>
        <v>10494.545454545454</v>
      </c>
      <c r="M24" s="4">
        <f t="shared" si="9"/>
        <v>16036.363636363636</v>
      </c>
    </row>
    <row r="25" spans="1:13" x14ac:dyDescent="0.3">
      <c r="A25" s="8" t="s">
        <v>22</v>
      </c>
      <c r="B25" s="8"/>
      <c r="C25" s="6">
        <v>1</v>
      </c>
      <c r="D25" s="9">
        <f t="shared" si="0"/>
        <v>262</v>
      </c>
      <c r="E25" s="9">
        <f t="shared" si="1"/>
        <v>6681.818181818182</v>
      </c>
      <c r="F25" s="10">
        <f t="shared" si="2"/>
        <v>0</v>
      </c>
      <c r="G25" s="11">
        <f t="shared" si="3"/>
        <v>10694.363636363636</v>
      </c>
      <c r="H25" s="9">
        <f t="shared" si="4"/>
        <v>0</v>
      </c>
      <c r="I25" s="9">
        <f t="shared" si="5"/>
        <v>3951.5454545454545</v>
      </c>
      <c r="J25" s="9">
        <f t="shared" si="6"/>
        <v>2166</v>
      </c>
      <c r="K25" s="16">
        <f t="shared" si="7"/>
        <v>52725.63636363636</v>
      </c>
      <c r="L25" s="4">
        <f t="shared" si="8"/>
        <v>10494.545454545454</v>
      </c>
      <c r="M25" s="4">
        <f t="shared" si="9"/>
        <v>16036.363636363636</v>
      </c>
    </row>
    <row r="26" spans="1:13" x14ac:dyDescent="0.3">
      <c r="D26" s="2"/>
      <c r="J26" s="2"/>
    </row>
    <row r="28" spans="1:13" x14ac:dyDescent="0.3">
      <c r="A28" s="18"/>
    </row>
    <row r="29" spans="1:13" x14ac:dyDescent="0.3">
      <c r="A29" s="18"/>
    </row>
    <row r="30" spans="1:13" x14ac:dyDescent="0.3">
      <c r="A30" s="18"/>
    </row>
    <row r="31" spans="1:13" x14ac:dyDescent="0.3">
      <c r="A31" s="18"/>
    </row>
    <row r="32" spans="1:13" x14ac:dyDescent="0.3">
      <c r="A32" s="18"/>
    </row>
    <row r="33" spans="1:1" x14ac:dyDescent="0.3">
      <c r="A33" s="18"/>
    </row>
    <row r="34" spans="1:1" x14ac:dyDescent="0.3">
      <c r="A34" s="18"/>
    </row>
    <row r="35" spans="1:1" x14ac:dyDescent="0.3">
      <c r="A35" s="18"/>
    </row>
    <row r="36" spans="1:1" x14ac:dyDescent="0.3">
      <c r="A36" s="18"/>
    </row>
    <row r="37" spans="1:1" x14ac:dyDescent="0.3">
      <c r="A37" s="18"/>
    </row>
    <row r="38" spans="1:1" x14ac:dyDescent="0.3">
      <c r="A38" s="1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8FBCE-AC80-4F63-9F2D-BDAB4B29C7BC}">
  <dimension ref="A1:M35"/>
  <sheetViews>
    <sheetView zoomScale="78" zoomScaleNormal="78" workbookViewId="0">
      <selection activeCell="D14" sqref="D14:M25"/>
    </sheetView>
  </sheetViews>
  <sheetFormatPr defaultRowHeight="14.4" x14ac:dyDescent="0.3"/>
  <cols>
    <col min="1" max="1" width="21.5546875" bestFit="1" customWidth="1"/>
    <col min="2" max="2" width="16.109375" bestFit="1" customWidth="1"/>
    <col min="3" max="3" width="16.77734375" bestFit="1" customWidth="1"/>
    <col min="4" max="4" width="15.6640625" bestFit="1" customWidth="1"/>
    <col min="5" max="5" width="14.6640625" bestFit="1" customWidth="1"/>
    <col min="6" max="6" width="21.5546875" bestFit="1" customWidth="1"/>
    <col min="7" max="7" width="20" bestFit="1" customWidth="1"/>
    <col min="8" max="8" width="13.5546875" bestFit="1" customWidth="1"/>
    <col min="9" max="9" width="12.33203125" bestFit="1" customWidth="1"/>
    <col min="10" max="10" width="13.44140625" bestFit="1" customWidth="1"/>
    <col min="11" max="11" width="11.77734375" customWidth="1"/>
    <col min="12" max="12" width="16.77734375" bestFit="1" customWidth="1"/>
    <col min="13" max="13" width="17.6640625" bestFit="1" customWidth="1"/>
  </cols>
  <sheetData>
    <row r="1" spans="1:13" x14ac:dyDescent="0.3">
      <c r="A1" s="3" t="s">
        <v>1</v>
      </c>
      <c r="B1" s="3" t="s">
        <v>2</v>
      </c>
      <c r="C1" s="3" t="s">
        <v>35</v>
      </c>
      <c r="D1" s="7" t="s">
        <v>36</v>
      </c>
      <c r="E1" s="4">
        <v>54142</v>
      </c>
      <c r="G1" s="7" t="s">
        <v>0</v>
      </c>
      <c r="H1" s="6">
        <v>44516</v>
      </c>
      <c r="J1" s="2">
        <f>SUM(C2:C9)+E1+H1+C10+C11</f>
        <v>2059841</v>
      </c>
    </row>
    <row r="2" spans="1:13" x14ac:dyDescent="0.3">
      <c r="A2" t="s">
        <v>3</v>
      </c>
      <c r="C2" s="2">
        <v>72700</v>
      </c>
      <c r="D2" s="6" t="s">
        <v>28</v>
      </c>
      <c r="E2" s="6">
        <f>B15+B16+B20+B21+B23+B24</f>
        <v>0</v>
      </c>
      <c r="G2" s="6" t="s">
        <v>28</v>
      </c>
      <c r="H2" s="6"/>
    </row>
    <row r="3" spans="1:13" x14ac:dyDescent="0.3">
      <c r="A3" t="s">
        <v>9</v>
      </c>
      <c r="C3" s="2">
        <v>0</v>
      </c>
      <c r="D3" s="6" t="s">
        <v>29</v>
      </c>
      <c r="E3" s="4" t="e">
        <f>E1/E2</f>
        <v>#DIV/0!</v>
      </c>
      <c r="G3" s="6" t="s">
        <v>31</v>
      </c>
      <c r="H3" s="4" t="e">
        <f>H1/H2</f>
        <v>#DIV/0!</v>
      </c>
    </row>
    <row r="4" spans="1:13" x14ac:dyDescent="0.3">
      <c r="A4" t="s">
        <v>6</v>
      </c>
      <c r="B4" s="1"/>
      <c r="C4" s="2">
        <v>557272</v>
      </c>
    </row>
    <row r="5" spans="1:13" x14ac:dyDescent="0.3">
      <c r="A5" t="s">
        <v>5</v>
      </c>
      <c r="B5" s="1"/>
      <c r="C5" s="2">
        <v>116481</v>
      </c>
      <c r="E5" s="2"/>
    </row>
    <row r="6" spans="1:13" x14ac:dyDescent="0.3">
      <c r="A6" t="s">
        <v>42</v>
      </c>
      <c r="C6" s="2">
        <f>11400</f>
        <v>11400</v>
      </c>
      <c r="D6" s="2"/>
      <c r="E6" s="2"/>
    </row>
    <row r="7" spans="1:13" x14ac:dyDescent="0.3">
      <c r="A7" t="s">
        <v>7</v>
      </c>
      <c r="C7" s="2">
        <v>21698</v>
      </c>
      <c r="E7" t="s">
        <v>53</v>
      </c>
      <c r="F7" s="2">
        <f>E1+H1</f>
        <v>98658</v>
      </c>
    </row>
    <row r="8" spans="1:13" x14ac:dyDescent="0.3">
      <c r="A8" t="s">
        <v>47</v>
      </c>
      <c r="C8" s="1">
        <v>19997</v>
      </c>
      <c r="E8" t="s">
        <v>54</v>
      </c>
      <c r="F8">
        <f>SUM(C14:C25)</f>
        <v>364</v>
      </c>
    </row>
    <row r="9" spans="1:13" x14ac:dyDescent="0.3">
      <c r="A9" t="s">
        <v>10</v>
      </c>
      <c r="C9" s="2">
        <f>537570+28250</f>
        <v>565820</v>
      </c>
      <c r="E9" t="s">
        <v>55</v>
      </c>
      <c r="F9" s="2">
        <f>F7/F8</f>
        <v>271.03846153846155</v>
      </c>
    </row>
    <row r="10" spans="1:13" x14ac:dyDescent="0.3">
      <c r="A10" t="s">
        <v>45</v>
      </c>
      <c r="C10" s="2">
        <v>0</v>
      </c>
    </row>
    <row r="11" spans="1:13" x14ac:dyDescent="0.3">
      <c r="A11" t="s">
        <v>46</v>
      </c>
      <c r="C11" s="2">
        <f>242000+353815</f>
        <v>595815</v>
      </c>
    </row>
    <row r="13" spans="1:13" x14ac:dyDescent="0.3">
      <c r="A13" s="13" t="s">
        <v>33</v>
      </c>
      <c r="B13" s="13" t="s">
        <v>23</v>
      </c>
      <c r="C13" s="13" t="s">
        <v>25</v>
      </c>
      <c r="D13" s="13" t="s">
        <v>30</v>
      </c>
      <c r="E13" s="13" t="s">
        <v>34</v>
      </c>
      <c r="F13" s="14" t="s">
        <v>37</v>
      </c>
      <c r="G13" s="14" t="s">
        <v>6</v>
      </c>
      <c r="H13" s="13" t="s">
        <v>38</v>
      </c>
      <c r="I13" s="13" t="s">
        <v>39</v>
      </c>
      <c r="J13" s="13" t="s">
        <v>40</v>
      </c>
      <c r="K13" s="15" t="s">
        <v>41</v>
      </c>
      <c r="L13" s="17" t="s">
        <v>45</v>
      </c>
      <c r="M13" s="13" t="s">
        <v>46</v>
      </c>
    </row>
    <row r="14" spans="1:13" x14ac:dyDescent="0.3">
      <c r="A14" s="8" t="s">
        <v>11</v>
      </c>
      <c r="B14" s="8"/>
      <c r="C14" s="8">
        <v>40</v>
      </c>
      <c r="D14" s="9">
        <f>C14*271</f>
        <v>10840</v>
      </c>
      <c r="E14" s="9">
        <f>$C$2/12</f>
        <v>6058.333333333333</v>
      </c>
      <c r="F14" s="10">
        <f>$C$3/13</f>
        <v>0</v>
      </c>
      <c r="G14" s="11">
        <f>$C$4/12</f>
        <v>46439.333333333336</v>
      </c>
      <c r="H14" s="9">
        <f>$C$5/12</f>
        <v>9706.75</v>
      </c>
      <c r="I14" s="9">
        <f>$C$6/12</f>
        <v>950</v>
      </c>
      <c r="J14" s="9">
        <f>($C$7+$C$8)/12</f>
        <v>3474.5833333333335</v>
      </c>
      <c r="K14" s="16">
        <f>$C$9/12</f>
        <v>47151.666666666664</v>
      </c>
      <c r="L14" s="4">
        <f>$C$10/12</f>
        <v>0</v>
      </c>
      <c r="M14" s="4">
        <f>$C$11/12</f>
        <v>49651.25</v>
      </c>
    </row>
    <row r="15" spans="1:13" x14ac:dyDescent="0.3">
      <c r="A15" s="8" t="s">
        <v>12</v>
      </c>
      <c r="B15" s="8"/>
      <c r="C15" s="8">
        <v>12</v>
      </c>
      <c r="D15" s="9">
        <f t="shared" ref="D15:D25" si="0">C15*271</f>
        <v>3252</v>
      </c>
      <c r="E15" s="9">
        <f t="shared" ref="E15:E25" si="1">$C$2/12</f>
        <v>6058.333333333333</v>
      </c>
      <c r="F15" s="10">
        <f t="shared" ref="F15:F25" si="2">$C$3/13</f>
        <v>0</v>
      </c>
      <c r="G15" s="11">
        <f t="shared" ref="G15:G25" si="3">$C$4/12</f>
        <v>46439.333333333336</v>
      </c>
      <c r="H15" s="9">
        <f t="shared" ref="H15:H25" si="4">$C$5/12</f>
        <v>9706.75</v>
      </c>
      <c r="I15" s="9">
        <f t="shared" ref="I15:I25" si="5">$C$6/12</f>
        <v>950</v>
      </c>
      <c r="J15" s="9">
        <f t="shared" ref="J15:J25" si="6">($C$7+$C$8)/12</f>
        <v>3474.5833333333335</v>
      </c>
      <c r="K15" s="16">
        <f t="shared" ref="K15:K25" si="7">$C$9/12</f>
        <v>47151.666666666664</v>
      </c>
      <c r="L15" s="4">
        <f t="shared" ref="L15:L25" si="8">$C$10/12</f>
        <v>0</v>
      </c>
      <c r="M15" s="4">
        <f t="shared" ref="M15:M25" si="9">$C$11/12</f>
        <v>49651.25</v>
      </c>
    </row>
    <row r="16" spans="1:13" x14ac:dyDescent="0.3">
      <c r="A16" s="8" t="s">
        <v>13</v>
      </c>
      <c r="B16" s="8"/>
      <c r="C16" s="8">
        <v>58</v>
      </c>
      <c r="D16" s="9">
        <f t="shared" si="0"/>
        <v>15718</v>
      </c>
      <c r="E16" s="9">
        <f t="shared" si="1"/>
        <v>6058.333333333333</v>
      </c>
      <c r="F16" s="10">
        <f t="shared" si="2"/>
        <v>0</v>
      </c>
      <c r="G16" s="11">
        <f t="shared" si="3"/>
        <v>46439.333333333336</v>
      </c>
      <c r="H16" s="9">
        <f t="shared" si="4"/>
        <v>9706.75</v>
      </c>
      <c r="I16" s="9">
        <f t="shared" si="5"/>
        <v>950</v>
      </c>
      <c r="J16" s="9">
        <f t="shared" si="6"/>
        <v>3474.5833333333335</v>
      </c>
      <c r="K16" s="16">
        <f t="shared" si="7"/>
        <v>47151.666666666664</v>
      </c>
      <c r="L16" s="4">
        <f t="shared" si="8"/>
        <v>0</v>
      </c>
      <c r="M16" s="4">
        <f t="shared" si="9"/>
        <v>49651.25</v>
      </c>
    </row>
    <row r="17" spans="1:13" x14ac:dyDescent="0.3">
      <c r="A17" s="8" t="s">
        <v>14</v>
      </c>
      <c r="B17" s="8"/>
      <c r="C17" s="12">
        <v>3</v>
      </c>
      <c r="D17" s="9">
        <f t="shared" si="0"/>
        <v>813</v>
      </c>
      <c r="E17" s="9">
        <f t="shared" si="1"/>
        <v>6058.333333333333</v>
      </c>
      <c r="F17" s="10">
        <f t="shared" si="2"/>
        <v>0</v>
      </c>
      <c r="G17" s="11">
        <f t="shared" si="3"/>
        <v>46439.333333333336</v>
      </c>
      <c r="H17" s="9">
        <f t="shared" si="4"/>
        <v>9706.75</v>
      </c>
      <c r="I17" s="9">
        <f t="shared" si="5"/>
        <v>950</v>
      </c>
      <c r="J17" s="9">
        <f t="shared" si="6"/>
        <v>3474.5833333333335</v>
      </c>
      <c r="K17" s="16">
        <f t="shared" si="7"/>
        <v>47151.666666666664</v>
      </c>
      <c r="L17" s="4">
        <f t="shared" si="8"/>
        <v>0</v>
      </c>
      <c r="M17" s="4">
        <f t="shared" si="9"/>
        <v>49651.25</v>
      </c>
    </row>
    <row r="18" spans="1:13" x14ac:dyDescent="0.3">
      <c r="A18" s="8" t="s">
        <v>15</v>
      </c>
      <c r="B18" s="8"/>
      <c r="C18" s="8">
        <v>4</v>
      </c>
      <c r="D18" s="9">
        <f t="shared" si="0"/>
        <v>1084</v>
      </c>
      <c r="E18" s="9">
        <f t="shared" si="1"/>
        <v>6058.333333333333</v>
      </c>
      <c r="F18" s="10">
        <f t="shared" si="2"/>
        <v>0</v>
      </c>
      <c r="G18" s="11">
        <f t="shared" si="3"/>
        <v>46439.333333333336</v>
      </c>
      <c r="H18" s="9">
        <f t="shared" si="4"/>
        <v>9706.75</v>
      </c>
      <c r="I18" s="9">
        <f t="shared" si="5"/>
        <v>950</v>
      </c>
      <c r="J18" s="9">
        <f t="shared" si="6"/>
        <v>3474.5833333333335</v>
      </c>
      <c r="K18" s="16">
        <f t="shared" si="7"/>
        <v>47151.666666666664</v>
      </c>
      <c r="L18" s="4">
        <f t="shared" si="8"/>
        <v>0</v>
      </c>
      <c r="M18" s="4">
        <f t="shared" si="9"/>
        <v>49651.25</v>
      </c>
    </row>
    <row r="19" spans="1:13" x14ac:dyDescent="0.3">
      <c r="A19" s="8" t="s">
        <v>16</v>
      </c>
      <c r="B19" s="8"/>
      <c r="C19" s="8"/>
      <c r="D19" s="9">
        <f t="shared" si="0"/>
        <v>0</v>
      </c>
      <c r="E19" s="9">
        <f t="shared" si="1"/>
        <v>6058.333333333333</v>
      </c>
      <c r="F19" s="10">
        <f t="shared" si="2"/>
        <v>0</v>
      </c>
      <c r="G19" s="11">
        <f t="shared" si="3"/>
        <v>46439.333333333336</v>
      </c>
      <c r="H19" s="9">
        <f t="shared" si="4"/>
        <v>9706.75</v>
      </c>
      <c r="I19" s="9">
        <f t="shared" si="5"/>
        <v>950</v>
      </c>
      <c r="J19" s="9">
        <f t="shared" si="6"/>
        <v>3474.5833333333335</v>
      </c>
      <c r="K19" s="16">
        <f t="shared" si="7"/>
        <v>47151.666666666664</v>
      </c>
      <c r="L19" s="4">
        <f t="shared" si="8"/>
        <v>0</v>
      </c>
      <c r="M19" s="4">
        <f t="shared" si="9"/>
        <v>49651.25</v>
      </c>
    </row>
    <row r="20" spans="1:13" x14ac:dyDescent="0.3">
      <c r="A20" s="8" t="s">
        <v>17</v>
      </c>
      <c r="B20" s="8"/>
      <c r="C20" s="8">
        <v>111</v>
      </c>
      <c r="D20" s="9">
        <f t="shared" si="0"/>
        <v>30081</v>
      </c>
      <c r="E20" s="9">
        <f t="shared" si="1"/>
        <v>6058.333333333333</v>
      </c>
      <c r="F20" s="10">
        <f t="shared" si="2"/>
        <v>0</v>
      </c>
      <c r="G20" s="11">
        <f t="shared" si="3"/>
        <v>46439.333333333336</v>
      </c>
      <c r="H20" s="9">
        <f t="shared" si="4"/>
        <v>9706.75</v>
      </c>
      <c r="I20" s="9">
        <f t="shared" si="5"/>
        <v>950</v>
      </c>
      <c r="J20" s="9">
        <f t="shared" si="6"/>
        <v>3474.5833333333335</v>
      </c>
      <c r="K20" s="16">
        <f t="shared" si="7"/>
        <v>47151.666666666664</v>
      </c>
      <c r="L20" s="4">
        <f t="shared" si="8"/>
        <v>0</v>
      </c>
      <c r="M20" s="4">
        <f t="shared" si="9"/>
        <v>49651.25</v>
      </c>
    </row>
    <row r="21" spans="1:13" x14ac:dyDescent="0.3">
      <c r="A21" s="8" t="s">
        <v>18</v>
      </c>
      <c r="B21" s="8"/>
      <c r="C21" s="8">
        <v>1</v>
      </c>
      <c r="D21" s="9">
        <f t="shared" si="0"/>
        <v>271</v>
      </c>
      <c r="E21" s="9">
        <f t="shared" si="1"/>
        <v>6058.333333333333</v>
      </c>
      <c r="F21" s="10">
        <f t="shared" si="2"/>
        <v>0</v>
      </c>
      <c r="G21" s="11">
        <f t="shared" si="3"/>
        <v>46439.333333333336</v>
      </c>
      <c r="H21" s="9">
        <f t="shared" si="4"/>
        <v>9706.75</v>
      </c>
      <c r="I21" s="9">
        <f t="shared" si="5"/>
        <v>950</v>
      </c>
      <c r="J21" s="9">
        <f t="shared" si="6"/>
        <v>3474.5833333333335</v>
      </c>
      <c r="K21" s="16">
        <f t="shared" si="7"/>
        <v>47151.666666666664</v>
      </c>
      <c r="L21" s="4">
        <f t="shared" si="8"/>
        <v>0</v>
      </c>
      <c r="M21" s="4">
        <f t="shared" si="9"/>
        <v>49651.25</v>
      </c>
    </row>
    <row r="22" spans="1:13" x14ac:dyDescent="0.3">
      <c r="A22" s="8" t="s">
        <v>19</v>
      </c>
      <c r="B22" s="8"/>
      <c r="C22" s="8">
        <v>89</v>
      </c>
      <c r="D22" s="9">
        <f t="shared" si="0"/>
        <v>24119</v>
      </c>
      <c r="E22" s="9">
        <f t="shared" si="1"/>
        <v>6058.333333333333</v>
      </c>
      <c r="F22" s="10">
        <f t="shared" si="2"/>
        <v>0</v>
      </c>
      <c r="G22" s="11">
        <f t="shared" si="3"/>
        <v>46439.333333333336</v>
      </c>
      <c r="H22" s="9">
        <f t="shared" si="4"/>
        <v>9706.75</v>
      </c>
      <c r="I22" s="9">
        <f t="shared" si="5"/>
        <v>950</v>
      </c>
      <c r="J22" s="9">
        <f t="shared" si="6"/>
        <v>3474.5833333333335</v>
      </c>
      <c r="K22" s="16">
        <f t="shared" si="7"/>
        <v>47151.666666666664</v>
      </c>
      <c r="L22" s="4">
        <f t="shared" si="8"/>
        <v>0</v>
      </c>
      <c r="M22" s="4">
        <f t="shared" si="9"/>
        <v>49651.25</v>
      </c>
    </row>
    <row r="23" spans="1:13" x14ac:dyDescent="0.3">
      <c r="A23" s="8" t="s">
        <v>20</v>
      </c>
      <c r="B23" s="8"/>
      <c r="C23" s="8"/>
      <c r="D23" s="9">
        <f t="shared" si="0"/>
        <v>0</v>
      </c>
      <c r="E23" s="9">
        <f t="shared" si="1"/>
        <v>6058.333333333333</v>
      </c>
      <c r="F23" s="10">
        <f t="shared" si="2"/>
        <v>0</v>
      </c>
      <c r="G23" s="11">
        <f t="shared" si="3"/>
        <v>46439.333333333336</v>
      </c>
      <c r="H23" s="9">
        <f t="shared" si="4"/>
        <v>9706.75</v>
      </c>
      <c r="I23" s="9">
        <f t="shared" si="5"/>
        <v>950</v>
      </c>
      <c r="J23" s="9">
        <f t="shared" si="6"/>
        <v>3474.5833333333335</v>
      </c>
      <c r="K23" s="16">
        <f t="shared" si="7"/>
        <v>47151.666666666664</v>
      </c>
      <c r="L23" s="4">
        <f t="shared" si="8"/>
        <v>0</v>
      </c>
      <c r="M23" s="4">
        <f t="shared" si="9"/>
        <v>49651.25</v>
      </c>
    </row>
    <row r="24" spans="1:13" x14ac:dyDescent="0.3">
      <c r="A24" s="8" t="s">
        <v>21</v>
      </c>
      <c r="B24" s="8"/>
      <c r="C24" s="8">
        <v>46</v>
      </c>
      <c r="D24" s="9">
        <f t="shared" si="0"/>
        <v>12466</v>
      </c>
      <c r="E24" s="9">
        <f t="shared" si="1"/>
        <v>6058.333333333333</v>
      </c>
      <c r="F24" s="10">
        <f t="shared" si="2"/>
        <v>0</v>
      </c>
      <c r="G24" s="11">
        <f t="shared" si="3"/>
        <v>46439.333333333336</v>
      </c>
      <c r="H24" s="9">
        <f t="shared" si="4"/>
        <v>9706.75</v>
      </c>
      <c r="I24" s="9">
        <f t="shared" si="5"/>
        <v>950</v>
      </c>
      <c r="J24" s="9">
        <f t="shared" si="6"/>
        <v>3474.5833333333335</v>
      </c>
      <c r="K24" s="16">
        <f t="shared" si="7"/>
        <v>47151.666666666664</v>
      </c>
      <c r="L24" s="4">
        <f t="shared" si="8"/>
        <v>0</v>
      </c>
      <c r="M24" s="4">
        <f t="shared" si="9"/>
        <v>49651.25</v>
      </c>
    </row>
    <row r="25" spans="1:13" x14ac:dyDescent="0.3">
      <c r="A25" s="8" t="s">
        <v>22</v>
      </c>
      <c r="B25" s="8"/>
      <c r="C25" s="8"/>
      <c r="D25" s="9">
        <f t="shared" si="0"/>
        <v>0</v>
      </c>
      <c r="E25" s="9">
        <f t="shared" si="1"/>
        <v>6058.333333333333</v>
      </c>
      <c r="F25" s="10">
        <f t="shared" si="2"/>
        <v>0</v>
      </c>
      <c r="G25" s="11">
        <f t="shared" si="3"/>
        <v>46439.333333333336</v>
      </c>
      <c r="H25" s="9">
        <f t="shared" si="4"/>
        <v>9706.75</v>
      </c>
      <c r="I25" s="9">
        <f t="shared" si="5"/>
        <v>950</v>
      </c>
      <c r="J25" s="9">
        <f t="shared" si="6"/>
        <v>3474.5833333333335</v>
      </c>
      <c r="K25" s="16">
        <f t="shared" si="7"/>
        <v>47151.666666666664</v>
      </c>
      <c r="L25" s="4">
        <f t="shared" si="8"/>
        <v>0</v>
      </c>
      <c r="M25" s="4">
        <f t="shared" si="9"/>
        <v>49651.25</v>
      </c>
    </row>
    <row r="26" spans="1:13" x14ac:dyDescent="0.3">
      <c r="D26" s="2"/>
      <c r="J26" s="2"/>
    </row>
    <row r="27" spans="1:13" x14ac:dyDescent="0.3">
      <c r="A27" s="18"/>
      <c r="B27" s="19"/>
    </row>
    <row r="28" spans="1:13" x14ac:dyDescent="0.3">
      <c r="A28" s="18"/>
      <c r="B28" s="19"/>
    </row>
    <row r="29" spans="1:13" x14ac:dyDescent="0.3">
      <c r="A29" s="18"/>
      <c r="B29" s="19"/>
    </row>
    <row r="30" spans="1:13" x14ac:dyDescent="0.3">
      <c r="A30" s="18"/>
      <c r="B30" s="19"/>
    </row>
    <row r="31" spans="1:13" x14ac:dyDescent="0.3">
      <c r="A31" s="18"/>
      <c r="B31" s="19"/>
    </row>
    <row r="32" spans="1:13" x14ac:dyDescent="0.3">
      <c r="A32" s="18"/>
      <c r="B32" s="19"/>
    </row>
    <row r="33" spans="1:2" x14ac:dyDescent="0.3">
      <c r="A33" s="18"/>
      <c r="B33" s="19"/>
    </row>
    <row r="34" spans="1:2" x14ac:dyDescent="0.3">
      <c r="A34" s="18"/>
      <c r="B34" s="19"/>
    </row>
    <row r="35" spans="1:2" x14ac:dyDescent="0.3">
      <c r="A35" s="18"/>
      <c r="B35" s="1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2497D-A1DF-4422-BD41-B5ED7CD055DF}">
  <dimension ref="A1:M26"/>
  <sheetViews>
    <sheetView zoomScale="72" zoomScaleNormal="72" workbookViewId="0">
      <selection activeCell="D14" sqref="D14:M25"/>
    </sheetView>
  </sheetViews>
  <sheetFormatPr defaultRowHeight="14.4" x14ac:dyDescent="0.3"/>
  <cols>
    <col min="1" max="1" width="21.5546875" bestFit="1" customWidth="1"/>
    <col min="2" max="2" width="16.109375" bestFit="1" customWidth="1"/>
    <col min="3" max="3" width="16.77734375" bestFit="1" customWidth="1"/>
    <col min="4" max="4" width="15.6640625" bestFit="1" customWidth="1"/>
    <col min="5" max="5" width="21.88671875" bestFit="1" customWidth="1"/>
    <col min="6" max="6" width="21.5546875" bestFit="1" customWidth="1"/>
    <col min="7" max="7" width="20" bestFit="1" customWidth="1"/>
    <col min="8" max="8" width="13.5546875" bestFit="1" customWidth="1"/>
    <col min="9" max="9" width="12.33203125" bestFit="1" customWidth="1"/>
    <col min="10" max="10" width="13.44140625" bestFit="1" customWidth="1"/>
    <col min="11" max="11" width="11.77734375" customWidth="1"/>
    <col min="12" max="12" width="16.77734375" bestFit="1" customWidth="1"/>
    <col min="13" max="13" width="17.6640625" bestFit="1" customWidth="1"/>
  </cols>
  <sheetData>
    <row r="1" spans="1:13" x14ac:dyDescent="0.3">
      <c r="A1" s="3" t="s">
        <v>1</v>
      </c>
      <c r="B1" s="3" t="s">
        <v>2</v>
      </c>
      <c r="C1" s="3" t="s">
        <v>35</v>
      </c>
      <c r="D1" s="7" t="s">
        <v>36</v>
      </c>
      <c r="E1" s="4">
        <v>93152</v>
      </c>
      <c r="G1" s="7" t="s">
        <v>0</v>
      </c>
      <c r="H1" s="6">
        <v>37508</v>
      </c>
      <c r="J1" s="2">
        <f>SUM(C2:C12)+E1+H1</f>
        <v>875034</v>
      </c>
    </row>
    <row r="2" spans="1:13" x14ac:dyDescent="0.3">
      <c r="A2" t="s">
        <v>3</v>
      </c>
      <c r="C2" s="1">
        <v>70500</v>
      </c>
      <c r="D2" s="6" t="s">
        <v>28</v>
      </c>
      <c r="E2" s="6">
        <f>B15+B16+B20+B21+B23+B24</f>
        <v>0</v>
      </c>
      <c r="G2" s="6" t="s">
        <v>28</v>
      </c>
      <c r="H2" s="6"/>
    </row>
    <row r="3" spans="1:13" x14ac:dyDescent="0.3">
      <c r="A3" t="s">
        <v>9</v>
      </c>
      <c r="C3" s="2">
        <v>0</v>
      </c>
      <c r="D3" s="6" t="s">
        <v>29</v>
      </c>
      <c r="E3" s="4" t="e">
        <f>E1/E2</f>
        <v>#DIV/0!</v>
      </c>
      <c r="G3" s="6" t="s">
        <v>31</v>
      </c>
      <c r="H3" s="4" t="e">
        <f>H1/H2</f>
        <v>#DIV/0!</v>
      </c>
    </row>
    <row r="4" spans="1:13" x14ac:dyDescent="0.3">
      <c r="A4" t="s">
        <v>6</v>
      </c>
      <c r="B4" s="1"/>
      <c r="C4" s="2">
        <v>0</v>
      </c>
    </row>
    <row r="5" spans="1:13" x14ac:dyDescent="0.3">
      <c r="A5" t="s">
        <v>5</v>
      </c>
      <c r="B5" s="1"/>
      <c r="C5" s="2">
        <v>22345</v>
      </c>
      <c r="E5" s="2"/>
    </row>
    <row r="6" spans="1:13" x14ac:dyDescent="0.3">
      <c r="A6" t="s">
        <v>42</v>
      </c>
      <c r="C6" s="2">
        <v>10710</v>
      </c>
      <c r="D6" s="2"/>
      <c r="E6" s="2"/>
    </row>
    <row r="7" spans="1:13" x14ac:dyDescent="0.3">
      <c r="A7" t="s">
        <v>7</v>
      </c>
      <c r="C7" s="2">
        <v>20916</v>
      </c>
      <c r="E7" t="s">
        <v>53</v>
      </c>
      <c r="F7" s="2">
        <f>E1+H1</f>
        <v>130660</v>
      </c>
    </row>
    <row r="8" spans="1:13" x14ac:dyDescent="0.3">
      <c r="A8" t="s">
        <v>47</v>
      </c>
      <c r="C8" s="1">
        <v>0</v>
      </c>
      <c r="E8" t="s">
        <v>54</v>
      </c>
      <c r="F8">
        <f>SUM(C14:C25)</f>
        <v>482</v>
      </c>
    </row>
    <row r="9" spans="1:13" x14ac:dyDescent="0.3">
      <c r="A9" t="s">
        <v>10</v>
      </c>
      <c r="C9" s="2">
        <f>406332+23571</f>
        <v>429903</v>
      </c>
      <c r="D9" s="2"/>
      <c r="E9" t="s">
        <v>55</v>
      </c>
      <c r="F9" s="2">
        <f>F7/F8</f>
        <v>271.07883817427387</v>
      </c>
    </row>
    <row r="10" spans="1:13" x14ac:dyDescent="0.3">
      <c r="A10" t="s">
        <v>45</v>
      </c>
      <c r="C10" s="2">
        <v>0</v>
      </c>
    </row>
    <row r="11" spans="1:13" x14ac:dyDescent="0.3">
      <c r="A11" t="s">
        <v>46</v>
      </c>
      <c r="C11" s="2">
        <v>190000</v>
      </c>
    </row>
    <row r="13" spans="1:13" x14ac:dyDescent="0.3">
      <c r="A13" s="13" t="s">
        <v>33</v>
      </c>
      <c r="B13" s="13" t="s">
        <v>23</v>
      </c>
      <c r="C13" s="13" t="s">
        <v>25</v>
      </c>
      <c r="D13" s="13" t="s">
        <v>30</v>
      </c>
      <c r="E13" s="13" t="s">
        <v>34</v>
      </c>
      <c r="F13" s="14" t="s">
        <v>37</v>
      </c>
      <c r="G13" s="14" t="s">
        <v>6</v>
      </c>
      <c r="H13" s="13" t="s">
        <v>38</v>
      </c>
      <c r="I13" s="13" t="s">
        <v>39</v>
      </c>
      <c r="J13" s="13" t="s">
        <v>40</v>
      </c>
      <c r="K13" s="15" t="s">
        <v>41</v>
      </c>
      <c r="L13" s="17" t="s">
        <v>45</v>
      </c>
      <c r="M13" s="13" t="s">
        <v>46</v>
      </c>
    </row>
    <row r="14" spans="1:13" x14ac:dyDescent="0.3">
      <c r="A14" s="8" t="s">
        <v>11</v>
      </c>
      <c r="B14" s="8"/>
      <c r="C14" s="8">
        <v>67</v>
      </c>
      <c r="D14" s="9">
        <f>C14*271</f>
        <v>18157</v>
      </c>
      <c r="E14" s="9">
        <f>$C$2/12</f>
        <v>5875</v>
      </c>
      <c r="F14" s="10">
        <f>$C$3/13</f>
        <v>0</v>
      </c>
      <c r="G14" s="11">
        <f>$C$4/12</f>
        <v>0</v>
      </c>
      <c r="H14" s="9">
        <f>$C$5/12</f>
        <v>1862.0833333333333</v>
      </c>
      <c r="I14" s="9">
        <f t="shared" ref="I14:I25" si="0">$C$6/12</f>
        <v>892.5</v>
      </c>
      <c r="J14" s="9">
        <f>($C$7+$C$8)/12</f>
        <v>1743</v>
      </c>
      <c r="K14" s="16">
        <f>$C$9/12</f>
        <v>35825.25</v>
      </c>
      <c r="L14" s="4">
        <f>$C$10/12</f>
        <v>0</v>
      </c>
      <c r="M14" s="4">
        <f>$C$11/12</f>
        <v>15833.333333333334</v>
      </c>
    </row>
    <row r="15" spans="1:13" x14ac:dyDescent="0.3">
      <c r="A15" s="8" t="s">
        <v>12</v>
      </c>
      <c r="B15" s="8"/>
      <c r="C15" s="8">
        <v>17</v>
      </c>
      <c r="D15" s="9">
        <f t="shared" ref="D15:D25" si="1">C15*271</f>
        <v>4607</v>
      </c>
      <c r="E15" s="9">
        <f t="shared" ref="E15:E25" si="2">$C$2/12</f>
        <v>5875</v>
      </c>
      <c r="F15" s="10">
        <f t="shared" ref="F15:F25" si="3">$C$3/13</f>
        <v>0</v>
      </c>
      <c r="G15" s="11">
        <f t="shared" ref="G15:G25" si="4">$C$4/12</f>
        <v>0</v>
      </c>
      <c r="H15" s="9">
        <f t="shared" ref="H15:H25" si="5">$C$5/12</f>
        <v>1862.0833333333333</v>
      </c>
      <c r="I15" s="9">
        <f t="shared" si="0"/>
        <v>892.5</v>
      </c>
      <c r="J15" s="9">
        <f t="shared" ref="J15:J25" si="6">($C$7+$C$8)/12</f>
        <v>1743</v>
      </c>
      <c r="K15" s="16">
        <f t="shared" ref="K15:K25" si="7">$C$9/12</f>
        <v>35825.25</v>
      </c>
      <c r="L15" s="4">
        <f t="shared" ref="L15:L25" si="8">$C$10/12</f>
        <v>0</v>
      </c>
      <c r="M15" s="4">
        <f t="shared" ref="M15:M25" si="9">$C$11/12</f>
        <v>15833.333333333334</v>
      </c>
    </row>
    <row r="16" spans="1:13" x14ac:dyDescent="0.3">
      <c r="A16" s="8" t="s">
        <v>13</v>
      </c>
      <c r="B16" s="8"/>
      <c r="C16" s="8">
        <v>150</v>
      </c>
      <c r="D16" s="9">
        <f t="shared" si="1"/>
        <v>40650</v>
      </c>
      <c r="E16" s="9">
        <f t="shared" si="2"/>
        <v>5875</v>
      </c>
      <c r="F16" s="10">
        <f t="shared" si="3"/>
        <v>0</v>
      </c>
      <c r="G16" s="11">
        <f t="shared" si="4"/>
        <v>0</v>
      </c>
      <c r="H16" s="9">
        <f t="shared" si="5"/>
        <v>1862.0833333333333</v>
      </c>
      <c r="I16" s="9">
        <f t="shared" si="0"/>
        <v>892.5</v>
      </c>
      <c r="J16" s="9">
        <f t="shared" si="6"/>
        <v>1743</v>
      </c>
      <c r="K16" s="16">
        <f t="shared" si="7"/>
        <v>35825.25</v>
      </c>
      <c r="L16" s="4">
        <f t="shared" si="8"/>
        <v>0</v>
      </c>
      <c r="M16" s="4">
        <f t="shared" si="9"/>
        <v>15833.333333333334</v>
      </c>
    </row>
    <row r="17" spans="1:13" x14ac:dyDescent="0.3">
      <c r="A17" s="8" t="s">
        <v>14</v>
      </c>
      <c r="B17" s="8"/>
      <c r="C17" s="12">
        <v>4</v>
      </c>
      <c r="D17" s="9">
        <f t="shared" si="1"/>
        <v>1084</v>
      </c>
      <c r="E17" s="9">
        <f t="shared" si="2"/>
        <v>5875</v>
      </c>
      <c r="F17" s="10">
        <f t="shared" si="3"/>
        <v>0</v>
      </c>
      <c r="G17" s="11">
        <f t="shared" si="4"/>
        <v>0</v>
      </c>
      <c r="H17" s="9">
        <f t="shared" si="5"/>
        <v>1862.0833333333333</v>
      </c>
      <c r="I17" s="9">
        <f t="shared" si="0"/>
        <v>892.5</v>
      </c>
      <c r="J17" s="9">
        <f t="shared" si="6"/>
        <v>1743</v>
      </c>
      <c r="K17" s="16">
        <f t="shared" si="7"/>
        <v>35825.25</v>
      </c>
      <c r="L17" s="4">
        <f t="shared" si="8"/>
        <v>0</v>
      </c>
      <c r="M17" s="4">
        <f t="shared" si="9"/>
        <v>15833.333333333334</v>
      </c>
    </row>
    <row r="18" spans="1:13" x14ac:dyDescent="0.3">
      <c r="A18" s="8" t="s">
        <v>15</v>
      </c>
      <c r="B18" s="8"/>
      <c r="C18" s="8">
        <v>4</v>
      </c>
      <c r="D18" s="9">
        <f t="shared" si="1"/>
        <v>1084</v>
      </c>
      <c r="E18" s="9">
        <f t="shared" si="2"/>
        <v>5875</v>
      </c>
      <c r="F18" s="10">
        <f t="shared" si="3"/>
        <v>0</v>
      </c>
      <c r="G18" s="11">
        <f t="shared" si="4"/>
        <v>0</v>
      </c>
      <c r="H18" s="9">
        <f t="shared" si="5"/>
        <v>1862.0833333333333</v>
      </c>
      <c r="I18" s="9">
        <f t="shared" si="0"/>
        <v>892.5</v>
      </c>
      <c r="J18" s="9">
        <f t="shared" si="6"/>
        <v>1743</v>
      </c>
      <c r="K18" s="16">
        <f t="shared" si="7"/>
        <v>35825.25</v>
      </c>
      <c r="L18" s="4">
        <f t="shared" si="8"/>
        <v>0</v>
      </c>
      <c r="M18" s="4">
        <f t="shared" si="9"/>
        <v>15833.333333333334</v>
      </c>
    </row>
    <row r="19" spans="1:13" x14ac:dyDescent="0.3">
      <c r="A19" s="8" t="s">
        <v>16</v>
      </c>
      <c r="B19" s="8"/>
      <c r="C19" s="8"/>
      <c r="D19" s="9">
        <f t="shared" si="1"/>
        <v>0</v>
      </c>
      <c r="E19" s="9">
        <f t="shared" si="2"/>
        <v>5875</v>
      </c>
      <c r="F19" s="10">
        <f t="shared" si="3"/>
        <v>0</v>
      </c>
      <c r="G19" s="11">
        <f t="shared" si="4"/>
        <v>0</v>
      </c>
      <c r="H19" s="9">
        <f t="shared" si="5"/>
        <v>1862.0833333333333</v>
      </c>
      <c r="I19" s="9">
        <f t="shared" si="0"/>
        <v>892.5</v>
      </c>
      <c r="J19" s="9">
        <f t="shared" si="6"/>
        <v>1743</v>
      </c>
      <c r="K19" s="16">
        <f t="shared" si="7"/>
        <v>35825.25</v>
      </c>
      <c r="L19" s="4">
        <f t="shared" si="8"/>
        <v>0</v>
      </c>
      <c r="M19" s="4">
        <f t="shared" si="9"/>
        <v>15833.333333333334</v>
      </c>
    </row>
    <row r="20" spans="1:13" x14ac:dyDescent="0.3">
      <c r="A20" s="8" t="s">
        <v>17</v>
      </c>
      <c r="B20" s="8"/>
      <c r="C20" s="8">
        <v>65</v>
      </c>
      <c r="D20" s="9">
        <f t="shared" si="1"/>
        <v>17615</v>
      </c>
      <c r="E20" s="9">
        <f t="shared" si="2"/>
        <v>5875</v>
      </c>
      <c r="F20" s="10">
        <f t="shared" si="3"/>
        <v>0</v>
      </c>
      <c r="G20" s="11">
        <f t="shared" si="4"/>
        <v>0</v>
      </c>
      <c r="H20" s="9">
        <f t="shared" si="5"/>
        <v>1862.0833333333333</v>
      </c>
      <c r="I20" s="9">
        <f t="shared" si="0"/>
        <v>892.5</v>
      </c>
      <c r="J20" s="9">
        <f t="shared" si="6"/>
        <v>1743</v>
      </c>
      <c r="K20" s="16">
        <f t="shared" si="7"/>
        <v>35825.25</v>
      </c>
      <c r="L20" s="4">
        <f t="shared" si="8"/>
        <v>0</v>
      </c>
      <c r="M20" s="4">
        <f t="shared" si="9"/>
        <v>15833.333333333334</v>
      </c>
    </row>
    <row r="21" spans="1:13" x14ac:dyDescent="0.3">
      <c r="A21" s="8" t="s">
        <v>18</v>
      </c>
      <c r="B21" s="8"/>
      <c r="C21" s="8">
        <v>1</v>
      </c>
      <c r="D21" s="9">
        <f t="shared" si="1"/>
        <v>271</v>
      </c>
      <c r="E21" s="9">
        <f t="shared" si="2"/>
        <v>5875</v>
      </c>
      <c r="F21" s="10">
        <f t="shared" si="3"/>
        <v>0</v>
      </c>
      <c r="G21" s="11">
        <f t="shared" si="4"/>
        <v>0</v>
      </c>
      <c r="H21" s="9">
        <f t="shared" si="5"/>
        <v>1862.0833333333333</v>
      </c>
      <c r="I21" s="9">
        <f t="shared" si="0"/>
        <v>892.5</v>
      </c>
      <c r="J21" s="9">
        <f t="shared" si="6"/>
        <v>1743</v>
      </c>
      <c r="K21" s="16">
        <f t="shared" si="7"/>
        <v>35825.25</v>
      </c>
      <c r="L21" s="4">
        <f t="shared" si="8"/>
        <v>0</v>
      </c>
      <c r="M21" s="4">
        <f t="shared" si="9"/>
        <v>15833.333333333334</v>
      </c>
    </row>
    <row r="22" spans="1:13" x14ac:dyDescent="0.3">
      <c r="A22" s="8" t="s">
        <v>19</v>
      </c>
      <c r="B22" s="8"/>
      <c r="C22" s="8">
        <v>128</v>
      </c>
      <c r="D22" s="9">
        <f t="shared" si="1"/>
        <v>34688</v>
      </c>
      <c r="E22" s="9">
        <f t="shared" si="2"/>
        <v>5875</v>
      </c>
      <c r="F22" s="10">
        <f t="shared" si="3"/>
        <v>0</v>
      </c>
      <c r="G22" s="11">
        <f t="shared" si="4"/>
        <v>0</v>
      </c>
      <c r="H22" s="9">
        <f t="shared" si="5"/>
        <v>1862.0833333333333</v>
      </c>
      <c r="I22" s="9">
        <f t="shared" si="0"/>
        <v>892.5</v>
      </c>
      <c r="J22" s="9">
        <f t="shared" si="6"/>
        <v>1743</v>
      </c>
      <c r="K22" s="16">
        <f t="shared" si="7"/>
        <v>35825.25</v>
      </c>
      <c r="L22" s="4">
        <f t="shared" si="8"/>
        <v>0</v>
      </c>
      <c r="M22" s="4">
        <f t="shared" si="9"/>
        <v>15833.333333333334</v>
      </c>
    </row>
    <row r="23" spans="1:13" x14ac:dyDescent="0.3">
      <c r="A23" s="8" t="s">
        <v>20</v>
      </c>
      <c r="B23" s="8"/>
      <c r="C23" s="8"/>
      <c r="D23" s="9">
        <f t="shared" si="1"/>
        <v>0</v>
      </c>
      <c r="E23" s="9">
        <f t="shared" si="2"/>
        <v>5875</v>
      </c>
      <c r="F23" s="10">
        <f t="shared" si="3"/>
        <v>0</v>
      </c>
      <c r="G23" s="11">
        <f t="shared" si="4"/>
        <v>0</v>
      </c>
      <c r="H23" s="9">
        <f t="shared" si="5"/>
        <v>1862.0833333333333</v>
      </c>
      <c r="I23" s="9">
        <f t="shared" si="0"/>
        <v>892.5</v>
      </c>
      <c r="J23" s="9">
        <f t="shared" si="6"/>
        <v>1743</v>
      </c>
      <c r="K23" s="16">
        <f t="shared" si="7"/>
        <v>35825.25</v>
      </c>
      <c r="L23" s="4">
        <f t="shared" si="8"/>
        <v>0</v>
      </c>
      <c r="M23" s="4">
        <f t="shared" si="9"/>
        <v>15833.333333333334</v>
      </c>
    </row>
    <row r="24" spans="1:13" x14ac:dyDescent="0.3">
      <c r="A24" s="8" t="s">
        <v>21</v>
      </c>
      <c r="B24" s="8"/>
      <c r="C24" s="8"/>
      <c r="D24" s="9">
        <f t="shared" si="1"/>
        <v>0</v>
      </c>
      <c r="E24" s="9">
        <f t="shared" si="2"/>
        <v>5875</v>
      </c>
      <c r="F24" s="10">
        <f t="shared" si="3"/>
        <v>0</v>
      </c>
      <c r="G24" s="11">
        <f t="shared" si="4"/>
        <v>0</v>
      </c>
      <c r="H24" s="9">
        <f t="shared" si="5"/>
        <v>1862.0833333333333</v>
      </c>
      <c r="I24" s="9">
        <f t="shared" si="0"/>
        <v>892.5</v>
      </c>
      <c r="J24" s="9">
        <f t="shared" si="6"/>
        <v>1743</v>
      </c>
      <c r="K24" s="16">
        <f t="shared" si="7"/>
        <v>35825.25</v>
      </c>
      <c r="L24" s="4">
        <f t="shared" si="8"/>
        <v>0</v>
      </c>
      <c r="M24" s="4">
        <f t="shared" si="9"/>
        <v>15833.333333333334</v>
      </c>
    </row>
    <row r="25" spans="1:13" x14ac:dyDescent="0.3">
      <c r="A25" s="8" t="s">
        <v>22</v>
      </c>
      <c r="B25" s="8"/>
      <c r="C25" s="8">
        <v>46</v>
      </c>
      <c r="D25" s="9">
        <f t="shared" si="1"/>
        <v>12466</v>
      </c>
      <c r="E25" s="9">
        <f t="shared" si="2"/>
        <v>5875</v>
      </c>
      <c r="F25" s="10">
        <f t="shared" si="3"/>
        <v>0</v>
      </c>
      <c r="G25" s="11">
        <f t="shared" si="4"/>
        <v>0</v>
      </c>
      <c r="H25" s="9">
        <f t="shared" si="5"/>
        <v>1862.0833333333333</v>
      </c>
      <c r="I25" s="9">
        <f t="shared" si="0"/>
        <v>892.5</v>
      </c>
      <c r="J25" s="9">
        <f t="shared" si="6"/>
        <v>1743</v>
      </c>
      <c r="K25" s="16">
        <f t="shared" si="7"/>
        <v>35825.25</v>
      </c>
      <c r="L25" s="4">
        <f t="shared" si="8"/>
        <v>0</v>
      </c>
      <c r="M25" s="4">
        <f t="shared" si="9"/>
        <v>15833.333333333334</v>
      </c>
    </row>
    <row r="26" spans="1:13" x14ac:dyDescent="0.3">
      <c r="D26" s="2"/>
      <c r="E26" s="2"/>
      <c r="F26" s="2"/>
      <c r="G26" s="2"/>
      <c r="H26" s="2"/>
      <c r="I26" s="2"/>
      <c r="J26" s="2"/>
      <c r="K26" s="2"/>
      <c r="L26" s="2"/>
      <c r="M26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F4FCD-7FF8-4B6C-920A-550F5AC0517A}">
  <dimension ref="A1:N36"/>
  <sheetViews>
    <sheetView topLeftCell="A4" zoomScale="75" zoomScaleNormal="75" workbookViewId="0">
      <selection activeCell="D14" sqref="D14:N25"/>
    </sheetView>
  </sheetViews>
  <sheetFormatPr defaultRowHeight="14.4" x14ac:dyDescent="0.3"/>
  <cols>
    <col min="1" max="1" width="29" bestFit="1" customWidth="1"/>
    <col min="2" max="2" width="16.109375" bestFit="1" customWidth="1"/>
    <col min="3" max="3" width="16.77734375" bestFit="1" customWidth="1"/>
    <col min="4" max="4" width="15.6640625" bestFit="1" customWidth="1"/>
    <col min="5" max="5" width="14.6640625" bestFit="1" customWidth="1"/>
    <col min="6" max="6" width="21.5546875" bestFit="1" customWidth="1"/>
    <col min="7" max="7" width="20" bestFit="1" customWidth="1"/>
    <col min="8" max="8" width="13.5546875" bestFit="1" customWidth="1"/>
    <col min="9" max="9" width="12.33203125" bestFit="1" customWidth="1"/>
    <col min="10" max="10" width="13.44140625" bestFit="1" customWidth="1"/>
    <col min="11" max="11" width="11.77734375" customWidth="1"/>
    <col min="12" max="12" width="16.77734375" bestFit="1" customWidth="1"/>
    <col min="13" max="13" width="17.6640625" bestFit="1" customWidth="1"/>
    <col min="14" max="14" width="13.5546875" bestFit="1" customWidth="1"/>
  </cols>
  <sheetData>
    <row r="1" spans="1:14" x14ac:dyDescent="0.3">
      <c r="A1" s="3" t="s">
        <v>1</v>
      </c>
      <c r="B1" s="3" t="s">
        <v>2</v>
      </c>
      <c r="C1" s="3" t="s">
        <v>35</v>
      </c>
      <c r="D1" s="7" t="s">
        <v>36</v>
      </c>
      <c r="E1" s="4">
        <v>80382</v>
      </c>
      <c r="G1" s="7" t="s">
        <v>0</v>
      </c>
      <c r="H1" s="6">
        <v>46227</v>
      </c>
      <c r="J1" s="2">
        <f>SUM(C2:C12)+E1+H1</f>
        <v>1524619.25</v>
      </c>
    </row>
    <row r="2" spans="1:14" x14ac:dyDescent="0.3">
      <c r="A2" t="s">
        <v>3</v>
      </c>
      <c r="C2" s="1">
        <v>0</v>
      </c>
      <c r="D2" s="6" t="s">
        <v>28</v>
      </c>
      <c r="E2" s="6">
        <f>B15+B16+B20+B21+B23+B24</f>
        <v>0</v>
      </c>
      <c r="G2" s="6" t="s">
        <v>28</v>
      </c>
      <c r="H2" s="6"/>
    </row>
    <row r="3" spans="1:14" x14ac:dyDescent="0.3">
      <c r="A3" t="s">
        <v>9</v>
      </c>
      <c r="C3" s="2">
        <v>0</v>
      </c>
      <c r="D3" s="6" t="s">
        <v>29</v>
      </c>
      <c r="E3" s="4" t="e">
        <f>E1/E2</f>
        <v>#DIV/0!</v>
      </c>
      <c r="G3" s="6" t="s">
        <v>31</v>
      </c>
      <c r="H3" s="4" t="e">
        <f>H1/H2</f>
        <v>#DIV/0!</v>
      </c>
    </row>
    <row r="4" spans="1:14" x14ac:dyDescent="0.3">
      <c r="A4" t="s">
        <v>6</v>
      </c>
      <c r="B4" s="1"/>
      <c r="C4" s="2">
        <v>1000</v>
      </c>
    </row>
    <row r="5" spans="1:14" x14ac:dyDescent="0.3">
      <c r="A5" t="s">
        <v>5</v>
      </c>
      <c r="B5" s="1"/>
      <c r="C5" s="2">
        <v>19341</v>
      </c>
      <c r="E5" s="2"/>
    </row>
    <row r="6" spans="1:14" x14ac:dyDescent="0.3">
      <c r="A6" t="s">
        <v>42</v>
      </c>
      <c r="C6" s="2">
        <v>14641.25</v>
      </c>
      <c r="D6" s="2"/>
      <c r="E6" s="2"/>
    </row>
    <row r="7" spans="1:14" x14ac:dyDescent="0.3">
      <c r="A7" t="s">
        <v>7</v>
      </c>
      <c r="C7" s="2">
        <v>20934</v>
      </c>
      <c r="E7" t="s">
        <v>53</v>
      </c>
      <c r="F7" s="2">
        <f>E1+H1</f>
        <v>126609</v>
      </c>
    </row>
    <row r="8" spans="1:14" x14ac:dyDescent="0.3">
      <c r="A8" t="s">
        <v>47</v>
      </c>
      <c r="C8" s="1">
        <f>26899+221374</f>
        <v>248273</v>
      </c>
      <c r="E8" t="s">
        <v>54</v>
      </c>
      <c r="F8">
        <f>SUM(C14:C25)</f>
        <v>511</v>
      </c>
    </row>
    <row r="9" spans="1:14" x14ac:dyDescent="0.3">
      <c r="A9" t="s">
        <v>10</v>
      </c>
      <c r="C9" s="2">
        <f>409233+22272</f>
        <v>431505</v>
      </c>
      <c r="D9" s="2"/>
      <c r="E9" t="s">
        <v>55</v>
      </c>
      <c r="F9" s="2">
        <f>F7/F8</f>
        <v>247.76712328767124</v>
      </c>
    </row>
    <row r="10" spans="1:14" x14ac:dyDescent="0.3">
      <c r="A10" t="s">
        <v>45</v>
      </c>
      <c r="C10" s="2">
        <v>145721</v>
      </c>
    </row>
    <row r="11" spans="1:14" x14ac:dyDescent="0.3">
      <c r="A11" t="s">
        <v>46</v>
      </c>
      <c r="C11" s="2">
        <v>376592</v>
      </c>
    </row>
    <row r="12" spans="1:14" x14ac:dyDescent="0.3">
      <c r="A12" t="s">
        <v>49</v>
      </c>
      <c r="C12">
        <v>140003</v>
      </c>
    </row>
    <row r="13" spans="1:14" x14ac:dyDescent="0.3">
      <c r="A13" s="13" t="s">
        <v>33</v>
      </c>
      <c r="B13" s="13" t="s">
        <v>23</v>
      </c>
      <c r="C13" s="13" t="s">
        <v>25</v>
      </c>
      <c r="D13" s="13" t="s">
        <v>30</v>
      </c>
      <c r="E13" s="13" t="s">
        <v>34</v>
      </c>
      <c r="F13" s="14" t="s">
        <v>37</v>
      </c>
      <c r="G13" s="14" t="s">
        <v>6</v>
      </c>
      <c r="H13" s="13" t="s">
        <v>38</v>
      </c>
      <c r="I13" s="13" t="s">
        <v>39</v>
      </c>
      <c r="J13" s="13" t="s">
        <v>40</v>
      </c>
      <c r="K13" s="15" t="s">
        <v>41</v>
      </c>
      <c r="L13" s="17" t="s">
        <v>45</v>
      </c>
      <c r="M13" s="13" t="s">
        <v>46</v>
      </c>
      <c r="N13" s="13" t="s">
        <v>48</v>
      </c>
    </row>
    <row r="14" spans="1:14" x14ac:dyDescent="0.3">
      <c r="A14" s="8" t="s">
        <v>11</v>
      </c>
      <c r="B14" s="8"/>
      <c r="C14" s="8">
        <v>109</v>
      </c>
      <c r="D14" s="9">
        <f>C14*248</f>
        <v>27032</v>
      </c>
      <c r="E14" s="9">
        <f>$C$2/12</f>
        <v>0</v>
      </c>
      <c r="F14" s="10">
        <f>$C$3/13</f>
        <v>0</v>
      </c>
      <c r="G14" s="11">
        <f>$C$4/12</f>
        <v>83.333333333333329</v>
      </c>
      <c r="H14" s="9">
        <f>$C$5/12</f>
        <v>1611.75</v>
      </c>
      <c r="I14" s="9">
        <f t="shared" ref="I14:I25" si="0">$C$6/12</f>
        <v>1220.1041666666667</v>
      </c>
      <c r="J14" s="9">
        <f>($C$7+$C$8)/12</f>
        <v>22433.916666666668</v>
      </c>
      <c r="K14" s="16">
        <f>$C$9/12</f>
        <v>35958.75</v>
      </c>
      <c r="L14" s="4">
        <f>$C$10/12</f>
        <v>12143.416666666666</v>
      </c>
      <c r="M14" s="4">
        <f>$C$11/12</f>
        <v>31382.666666666668</v>
      </c>
      <c r="N14" s="4">
        <f>$C$12/12</f>
        <v>11666.916666666666</v>
      </c>
    </row>
    <row r="15" spans="1:14" x14ac:dyDescent="0.3">
      <c r="A15" s="8" t="s">
        <v>12</v>
      </c>
      <c r="B15" s="8"/>
      <c r="C15" s="8">
        <v>25</v>
      </c>
      <c r="D15" s="9">
        <f t="shared" ref="D15:D25" si="1">C15*248</f>
        <v>6200</v>
      </c>
      <c r="E15" s="9">
        <f t="shared" ref="E15:E25" si="2">$C$2/12</f>
        <v>0</v>
      </c>
      <c r="F15" s="10">
        <f t="shared" ref="F15:F25" si="3">$C$3/13</f>
        <v>0</v>
      </c>
      <c r="G15" s="11">
        <f t="shared" ref="G15:G25" si="4">$C$4/12</f>
        <v>83.333333333333329</v>
      </c>
      <c r="H15" s="9">
        <f t="shared" ref="H15:H25" si="5">$C$5/12</f>
        <v>1611.75</v>
      </c>
      <c r="I15" s="9">
        <f t="shared" si="0"/>
        <v>1220.1041666666667</v>
      </c>
      <c r="J15" s="9">
        <f t="shared" ref="J15:J25" si="6">($C$7+$C$8)/12</f>
        <v>22433.916666666668</v>
      </c>
      <c r="K15" s="16">
        <f t="shared" ref="K15:K25" si="7">$C$9/12</f>
        <v>35958.75</v>
      </c>
      <c r="L15" s="4">
        <f t="shared" ref="L15:L25" si="8">$C$10/12</f>
        <v>12143.416666666666</v>
      </c>
      <c r="M15" s="4">
        <f t="shared" ref="M15:M25" si="9">$C$11/12</f>
        <v>31382.666666666668</v>
      </c>
      <c r="N15" s="4">
        <f t="shared" ref="N15:N25" si="10">$C$12/12</f>
        <v>11666.916666666666</v>
      </c>
    </row>
    <row r="16" spans="1:14" x14ac:dyDescent="0.3">
      <c r="A16" s="8" t="s">
        <v>13</v>
      </c>
      <c r="B16" s="8"/>
      <c r="C16" s="8">
        <v>63</v>
      </c>
      <c r="D16" s="9">
        <f t="shared" si="1"/>
        <v>15624</v>
      </c>
      <c r="E16" s="9">
        <f t="shared" si="2"/>
        <v>0</v>
      </c>
      <c r="F16" s="10">
        <f t="shared" si="3"/>
        <v>0</v>
      </c>
      <c r="G16" s="11">
        <f t="shared" si="4"/>
        <v>83.333333333333329</v>
      </c>
      <c r="H16" s="9">
        <f t="shared" si="5"/>
        <v>1611.75</v>
      </c>
      <c r="I16" s="9">
        <f t="shared" si="0"/>
        <v>1220.1041666666667</v>
      </c>
      <c r="J16" s="9">
        <f t="shared" si="6"/>
        <v>22433.916666666668</v>
      </c>
      <c r="K16" s="16">
        <f t="shared" si="7"/>
        <v>35958.75</v>
      </c>
      <c r="L16" s="4">
        <f t="shared" si="8"/>
        <v>12143.416666666666</v>
      </c>
      <c r="M16" s="4">
        <f t="shared" si="9"/>
        <v>31382.666666666668</v>
      </c>
      <c r="N16" s="4">
        <f t="shared" si="10"/>
        <v>11666.916666666666</v>
      </c>
    </row>
    <row r="17" spans="1:14" x14ac:dyDescent="0.3">
      <c r="A17" s="8" t="s">
        <v>14</v>
      </c>
      <c r="B17" s="8"/>
      <c r="C17" s="12">
        <v>5</v>
      </c>
      <c r="D17" s="9">
        <f t="shared" si="1"/>
        <v>1240</v>
      </c>
      <c r="E17" s="9">
        <f t="shared" si="2"/>
        <v>0</v>
      </c>
      <c r="F17" s="10">
        <f t="shared" si="3"/>
        <v>0</v>
      </c>
      <c r="G17" s="11">
        <f t="shared" si="4"/>
        <v>83.333333333333329</v>
      </c>
      <c r="H17" s="9">
        <f t="shared" si="5"/>
        <v>1611.75</v>
      </c>
      <c r="I17" s="9">
        <f t="shared" si="0"/>
        <v>1220.1041666666667</v>
      </c>
      <c r="J17" s="9">
        <f t="shared" si="6"/>
        <v>22433.916666666668</v>
      </c>
      <c r="K17" s="16">
        <f t="shared" si="7"/>
        <v>35958.75</v>
      </c>
      <c r="L17" s="4">
        <f t="shared" si="8"/>
        <v>12143.416666666666</v>
      </c>
      <c r="M17" s="4">
        <f t="shared" si="9"/>
        <v>31382.666666666668</v>
      </c>
      <c r="N17" s="4">
        <f t="shared" si="10"/>
        <v>11666.916666666666</v>
      </c>
    </row>
    <row r="18" spans="1:14" x14ac:dyDescent="0.3">
      <c r="A18" s="8" t="s">
        <v>15</v>
      </c>
      <c r="B18" s="8"/>
      <c r="C18" s="8">
        <v>4</v>
      </c>
      <c r="D18" s="9">
        <f t="shared" si="1"/>
        <v>992</v>
      </c>
      <c r="E18" s="9">
        <f t="shared" si="2"/>
        <v>0</v>
      </c>
      <c r="F18" s="10">
        <f t="shared" si="3"/>
        <v>0</v>
      </c>
      <c r="G18" s="11">
        <f t="shared" si="4"/>
        <v>83.333333333333329</v>
      </c>
      <c r="H18" s="9">
        <f t="shared" si="5"/>
        <v>1611.75</v>
      </c>
      <c r="I18" s="9">
        <f t="shared" si="0"/>
        <v>1220.1041666666667</v>
      </c>
      <c r="J18" s="9">
        <f t="shared" si="6"/>
        <v>22433.916666666668</v>
      </c>
      <c r="K18" s="16">
        <f t="shared" si="7"/>
        <v>35958.75</v>
      </c>
      <c r="L18" s="4">
        <f t="shared" si="8"/>
        <v>12143.416666666666</v>
      </c>
      <c r="M18" s="4">
        <f t="shared" si="9"/>
        <v>31382.666666666668</v>
      </c>
      <c r="N18" s="4">
        <f t="shared" si="10"/>
        <v>11666.916666666666</v>
      </c>
    </row>
    <row r="19" spans="1:14" x14ac:dyDescent="0.3">
      <c r="A19" s="8" t="s">
        <v>16</v>
      </c>
      <c r="B19" s="8"/>
      <c r="C19" s="8"/>
      <c r="D19" s="9">
        <f t="shared" si="1"/>
        <v>0</v>
      </c>
      <c r="E19" s="9">
        <f t="shared" si="2"/>
        <v>0</v>
      </c>
      <c r="F19" s="10">
        <f t="shared" si="3"/>
        <v>0</v>
      </c>
      <c r="G19" s="11">
        <f t="shared" si="4"/>
        <v>83.333333333333329</v>
      </c>
      <c r="H19" s="9">
        <f t="shared" si="5"/>
        <v>1611.75</v>
      </c>
      <c r="I19" s="9">
        <f t="shared" si="0"/>
        <v>1220.1041666666667</v>
      </c>
      <c r="J19" s="9">
        <f t="shared" si="6"/>
        <v>22433.916666666668</v>
      </c>
      <c r="K19" s="16">
        <f t="shared" si="7"/>
        <v>35958.75</v>
      </c>
      <c r="L19" s="4">
        <f t="shared" si="8"/>
        <v>12143.416666666666</v>
      </c>
      <c r="M19" s="4">
        <f t="shared" si="9"/>
        <v>31382.666666666668</v>
      </c>
      <c r="N19" s="4">
        <f t="shared" si="10"/>
        <v>11666.916666666666</v>
      </c>
    </row>
    <row r="20" spans="1:14" x14ac:dyDescent="0.3">
      <c r="A20" s="8" t="s">
        <v>17</v>
      </c>
      <c r="B20" s="8"/>
      <c r="C20" s="8">
        <v>123</v>
      </c>
      <c r="D20" s="9">
        <f t="shared" si="1"/>
        <v>30504</v>
      </c>
      <c r="E20" s="9">
        <f t="shared" si="2"/>
        <v>0</v>
      </c>
      <c r="F20" s="10">
        <f t="shared" si="3"/>
        <v>0</v>
      </c>
      <c r="G20" s="11">
        <f t="shared" si="4"/>
        <v>83.333333333333329</v>
      </c>
      <c r="H20" s="9">
        <f t="shared" si="5"/>
        <v>1611.75</v>
      </c>
      <c r="I20" s="9">
        <f t="shared" si="0"/>
        <v>1220.1041666666667</v>
      </c>
      <c r="J20" s="9">
        <f t="shared" si="6"/>
        <v>22433.916666666668</v>
      </c>
      <c r="K20" s="16">
        <f t="shared" si="7"/>
        <v>35958.75</v>
      </c>
      <c r="L20" s="4">
        <f t="shared" si="8"/>
        <v>12143.416666666666</v>
      </c>
      <c r="M20" s="4">
        <f t="shared" si="9"/>
        <v>31382.666666666668</v>
      </c>
      <c r="N20" s="4">
        <f t="shared" si="10"/>
        <v>11666.916666666666</v>
      </c>
    </row>
    <row r="21" spans="1:14" x14ac:dyDescent="0.3">
      <c r="A21" s="8" t="s">
        <v>18</v>
      </c>
      <c r="B21" s="8"/>
      <c r="C21" s="8"/>
      <c r="D21" s="9">
        <f t="shared" si="1"/>
        <v>0</v>
      </c>
      <c r="E21" s="9">
        <f t="shared" si="2"/>
        <v>0</v>
      </c>
      <c r="F21" s="10">
        <f t="shared" si="3"/>
        <v>0</v>
      </c>
      <c r="G21" s="11">
        <f t="shared" si="4"/>
        <v>83.333333333333329</v>
      </c>
      <c r="H21" s="9">
        <f t="shared" si="5"/>
        <v>1611.75</v>
      </c>
      <c r="I21" s="9">
        <f t="shared" si="0"/>
        <v>1220.1041666666667</v>
      </c>
      <c r="J21" s="9">
        <f t="shared" si="6"/>
        <v>22433.916666666668</v>
      </c>
      <c r="K21" s="16">
        <f t="shared" si="7"/>
        <v>35958.75</v>
      </c>
      <c r="L21" s="4">
        <f t="shared" si="8"/>
        <v>12143.416666666666</v>
      </c>
      <c r="M21" s="4">
        <f t="shared" si="9"/>
        <v>31382.666666666668</v>
      </c>
      <c r="N21" s="4">
        <f t="shared" si="10"/>
        <v>11666.916666666666</v>
      </c>
    </row>
    <row r="22" spans="1:14" x14ac:dyDescent="0.3">
      <c r="A22" s="8" t="s">
        <v>19</v>
      </c>
      <c r="B22" s="8"/>
      <c r="C22" s="8">
        <v>124</v>
      </c>
      <c r="D22" s="9">
        <f t="shared" si="1"/>
        <v>30752</v>
      </c>
      <c r="E22" s="9">
        <f t="shared" si="2"/>
        <v>0</v>
      </c>
      <c r="F22" s="10">
        <f t="shared" si="3"/>
        <v>0</v>
      </c>
      <c r="G22" s="11">
        <f t="shared" si="4"/>
        <v>83.333333333333329</v>
      </c>
      <c r="H22" s="9">
        <f t="shared" si="5"/>
        <v>1611.75</v>
      </c>
      <c r="I22" s="9">
        <f t="shared" si="0"/>
        <v>1220.1041666666667</v>
      </c>
      <c r="J22" s="9">
        <f t="shared" si="6"/>
        <v>22433.916666666668</v>
      </c>
      <c r="K22" s="16">
        <f t="shared" si="7"/>
        <v>35958.75</v>
      </c>
      <c r="L22" s="4">
        <f t="shared" si="8"/>
        <v>12143.416666666666</v>
      </c>
      <c r="M22" s="4">
        <f t="shared" si="9"/>
        <v>31382.666666666668</v>
      </c>
      <c r="N22" s="4">
        <f t="shared" si="10"/>
        <v>11666.916666666666</v>
      </c>
    </row>
    <row r="23" spans="1:14" x14ac:dyDescent="0.3">
      <c r="A23" s="8" t="s">
        <v>20</v>
      </c>
      <c r="B23" s="8"/>
      <c r="C23" s="8"/>
      <c r="D23" s="9">
        <f t="shared" si="1"/>
        <v>0</v>
      </c>
      <c r="E23" s="9">
        <f t="shared" si="2"/>
        <v>0</v>
      </c>
      <c r="F23" s="10">
        <f t="shared" si="3"/>
        <v>0</v>
      </c>
      <c r="G23" s="11">
        <f t="shared" si="4"/>
        <v>83.333333333333329</v>
      </c>
      <c r="H23" s="9">
        <f t="shared" si="5"/>
        <v>1611.75</v>
      </c>
      <c r="I23" s="9">
        <f t="shared" si="0"/>
        <v>1220.1041666666667</v>
      </c>
      <c r="J23" s="9">
        <f t="shared" si="6"/>
        <v>22433.916666666668</v>
      </c>
      <c r="K23" s="16">
        <f t="shared" si="7"/>
        <v>35958.75</v>
      </c>
      <c r="L23" s="4">
        <f t="shared" si="8"/>
        <v>12143.416666666666</v>
      </c>
      <c r="M23" s="4">
        <f t="shared" si="9"/>
        <v>31382.666666666668</v>
      </c>
      <c r="N23" s="4">
        <f t="shared" si="10"/>
        <v>11666.916666666666</v>
      </c>
    </row>
    <row r="24" spans="1:14" x14ac:dyDescent="0.3">
      <c r="A24" s="8" t="s">
        <v>21</v>
      </c>
      <c r="B24" s="8"/>
      <c r="C24" s="8">
        <v>58</v>
      </c>
      <c r="D24" s="9">
        <f t="shared" si="1"/>
        <v>14384</v>
      </c>
      <c r="E24" s="9">
        <f t="shared" si="2"/>
        <v>0</v>
      </c>
      <c r="F24" s="10">
        <f t="shared" si="3"/>
        <v>0</v>
      </c>
      <c r="G24" s="11">
        <f t="shared" si="4"/>
        <v>83.333333333333329</v>
      </c>
      <c r="H24" s="9">
        <f t="shared" si="5"/>
        <v>1611.75</v>
      </c>
      <c r="I24" s="9">
        <f t="shared" si="0"/>
        <v>1220.1041666666667</v>
      </c>
      <c r="J24" s="9">
        <f t="shared" si="6"/>
        <v>22433.916666666668</v>
      </c>
      <c r="K24" s="16">
        <f t="shared" si="7"/>
        <v>35958.75</v>
      </c>
      <c r="L24" s="4">
        <f t="shared" si="8"/>
        <v>12143.416666666666</v>
      </c>
      <c r="M24" s="4">
        <f t="shared" si="9"/>
        <v>31382.666666666668</v>
      </c>
      <c r="N24" s="4">
        <f t="shared" si="10"/>
        <v>11666.916666666666</v>
      </c>
    </row>
    <row r="25" spans="1:14" x14ac:dyDescent="0.3">
      <c r="A25" s="8" t="s">
        <v>22</v>
      </c>
      <c r="B25" s="8"/>
      <c r="C25" s="8"/>
      <c r="D25" s="9">
        <f t="shared" si="1"/>
        <v>0</v>
      </c>
      <c r="E25" s="9">
        <f t="shared" si="2"/>
        <v>0</v>
      </c>
      <c r="F25" s="10">
        <f t="shared" si="3"/>
        <v>0</v>
      </c>
      <c r="G25" s="11">
        <f t="shared" si="4"/>
        <v>83.333333333333329</v>
      </c>
      <c r="H25" s="9">
        <f t="shared" si="5"/>
        <v>1611.75</v>
      </c>
      <c r="I25" s="9">
        <f t="shared" si="0"/>
        <v>1220.1041666666667</v>
      </c>
      <c r="J25" s="9">
        <f t="shared" si="6"/>
        <v>22433.916666666668</v>
      </c>
      <c r="K25" s="16">
        <f t="shared" si="7"/>
        <v>35958.75</v>
      </c>
      <c r="L25" s="4">
        <f t="shared" si="8"/>
        <v>12143.416666666666</v>
      </c>
      <c r="M25" s="4">
        <f t="shared" si="9"/>
        <v>31382.666666666668</v>
      </c>
      <c r="N25" s="4">
        <f t="shared" si="10"/>
        <v>11666.916666666666</v>
      </c>
    </row>
    <row r="26" spans="1:14" x14ac:dyDescent="0.3">
      <c r="D26" s="2"/>
      <c r="E26" s="2"/>
      <c r="F26" s="2"/>
      <c r="G26" s="2"/>
      <c r="H26" s="2"/>
      <c r="I26" s="2"/>
      <c r="J26" s="2"/>
      <c r="K26" s="2"/>
      <c r="L26" s="2"/>
      <c r="M26" s="2"/>
    </row>
    <row r="29" spans="1:14" x14ac:dyDescent="0.3">
      <c r="A29" s="18"/>
      <c r="B29" s="19"/>
    </row>
    <row r="30" spans="1:14" x14ac:dyDescent="0.3">
      <c r="A30" s="18"/>
      <c r="B30" s="19"/>
    </row>
    <row r="31" spans="1:14" x14ac:dyDescent="0.3">
      <c r="A31" s="18"/>
      <c r="B31" s="19"/>
    </row>
    <row r="32" spans="1:14" x14ac:dyDescent="0.3">
      <c r="A32" s="18"/>
      <c r="B32" s="19"/>
    </row>
    <row r="33" spans="1:2" x14ac:dyDescent="0.3">
      <c r="A33" s="18"/>
      <c r="B33" s="19"/>
    </row>
    <row r="34" spans="1:2" x14ac:dyDescent="0.3">
      <c r="A34" s="18"/>
      <c r="B34" s="19"/>
    </row>
    <row r="35" spans="1:2" x14ac:dyDescent="0.3">
      <c r="A35" s="18"/>
      <c r="B35" s="19"/>
    </row>
    <row r="36" spans="1:2" x14ac:dyDescent="0.3">
      <c r="A36" s="18"/>
      <c r="B36" s="1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03BE3-0F7D-49A3-A85D-8B44CE11F7C4}">
  <dimension ref="A1:O38"/>
  <sheetViews>
    <sheetView zoomScale="65" zoomScaleNormal="65" workbookViewId="0">
      <selection activeCell="D15" sqref="D15:O26"/>
    </sheetView>
  </sheetViews>
  <sheetFormatPr defaultRowHeight="14.4" x14ac:dyDescent="0.3"/>
  <cols>
    <col min="1" max="1" width="29" bestFit="1" customWidth="1"/>
    <col min="2" max="2" width="16.109375" bestFit="1" customWidth="1"/>
    <col min="3" max="3" width="16.77734375" bestFit="1" customWidth="1"/>
    <col min="4" max="4" width="15.6640625" bestFit="1" customWidth="1"/>
    <col min="5" max="5" width="14.6640625" bestFit="1" customWidth="1"/>
    <col min="6" max="6" width="21.5546875" bestFit="1" customWidth="1"/>
    <col min="7" max="7" width="20" bestFit="1" customWidth="1"/>
    <col min="8" max="8" width="13.5546875" bestFit="1" customWidth="1"/>
    <col min="9" max="9" width="11.88671875" customWidth="1"/>
    <col min="10" max="10" width="13.44140625" bestFit="1" customWidth="1"/>
    <col min="11" max="11" width="11.77734375" customWidth="1"/>
    <col min="12" max="12" width="16.77734375" bestFit="1" customWidth="1"/>
    <col min="13" max="13" width="17.6640625" bestFit="1" customWidth="1"/>
    <col min="14" max="14" width="22.33203125" bestFit="1" customWidth="1"/>
    <col min="15" max="15" width="18.88671875" bestFit="1" customWidth="1"/>
  </cols>
  <sheetData>
    <row r="1" spans="1:15" x14ac:dyDescent="0.3">
      <c r="A1" s="3" t="s">
        <v>1</v>
      </c>
      <c r="B1" s="3" t="s">
        <v>2</v>
      </c>
      <c r="C1" s="3" t="s">
        <v>35</v>
      </c>
      <c r="D1" s="7" t="s">
        <v>36</v>
      </c>
      <c r="E1" s="4">
        <v>58380</v>
      </c>
      <c r="G1" s="7" t="s">
        <v>0</v>
      </c>
      <c r="H1" s="6">
        <v>74412</v>
      </c>
      <c r="J1" s="2">
        <f>SUM(C2:C12)+E1+H1+C13</f>
        <v>1479881</v>
      </c>
    </row>
    <row r="2" spans="1:15" x14ac:dyDescent="0.3">
      <c r="A2" t="s">
        <v>3</v>
      </c>
      <c r="C2" s="1">
        <v>146956</v>
      </c>
      <c r="D2" s="6" t="s">
        <v>28</v>
      </c>
      <c r="E2" s="6">
        <f>B16+B17+B21+B22+B24+B25</f>
        <v>0</v>
      </c>
      <c r="G2" s="6" t="s">
        <v>28</v>
      </c>
      <c r="H2" s="6"/>
    </row>
    <row r="3" spans="1:15" x14ac:dyDescent="0.3">
      <c r="A3" t="s">
        <v>9</v>
      </c>
      <c r="C3" s="2"/>
      <c r="D3" s="6" t="s">
        <v>29</v>
      </c>
      <c r="E3" s="4" t="e">
        <f>E1/E2</f>
        <v>#DIV/0!</v>
      </c>
      <c r="G3" s="6" t="s">
        <v>31</v>
      </c>
      <c r="H3" s="4" t="e">
        <f>H1/H2</f>
        <v>#DIV/0!</v>
      </c>
    </row>
    <row r="4" spans="1:15" x14ac:dyDescent="0.3">
      <c r="A4" t="s">
        <v>6</v>
      </c>
      <c r="B4" s="1"/>
      <c r="C4" s="2"/>
    </row>
    <row r="5" spans="1:15" x14ac:dyDescent="0.3">
      <c r="A5" t="s">
        <v>5</v>
      </c>
      <c r="B5" s="1"/>
      <c r="C5" s="2">
        <v>14966</v>
      </c>
      <c r="E5" s="2"/>
    </row>
    <row r="6" spans="1:15" x14ac:dyDescent="0.3">
      <c r="A6" t="s">
        <v>42</v>
      </c>
      <c r="C6" s="2">
        <f>5400+88100</f>
        <v>93500</v>
      </c>
      <c r="D6" s="2"/>
      <c r="E6" s="2"/>
    </row>
    <row r="7" spans="1:15" x14ac:dyDescent="0.3">
      <c r="A7" t="s">
        <v>7</v>
      </c>
      <c r="C7" s="2">
        <v>21666</v>
      </c>
      <c r="E7" t="s">
        <v>53</v>
      </c>
      <c r="F7" s="2">
        <f>E1+H1</f>
        <v>132792</v>
      </c>
    </row>
    <row r="8" spans="1:15" x14ac:dyDescent="0.3">
      <c r="A8" t="s">
        <v>47</v>
      </c>
      <c r="C8" s="1"/>
      <c r="E8" t="s">
        <v>54</v>
      </c>
      <c r="F8">
        <f>SUM(C14:C25)</f>
        <v>456</v>
      </c>
    </row>
    <row r="9" spans="1:15" x14ac:dyDescent="0.3">
      <c r="A9" t="s">
        <v>10</v>
      </c>
      <c r="C9" s="2">
        <f>407078+19999</f>
        <v>427077</v>
      </c>
      <c r="D9" s="2"/>
      <c r="E9" t="s">
        <v>55</v>
      </c>
      <c r="F9" s="2">
        <f>F7/F8</f>
        <v>291.21052631578948</v>
      </c>
    </row>
    <row r="10" spans="1:15" x14ac:dyDescent="0.3">
      <c r="A10" t="s">
        <v>45</v>
      </c>
      <c r="C10" s="2"/>
    </row>
    <row r="11" spans="1:15" x14ac:dyDescent="0.3">
      <c r="A11" t="s">
        <v>46</v>
      </c>
      <c r="C11" s="2">
        <v>528441</v>
      </c>
    </row>
    <row r="12" spans="1:15" x14ac:dyDescent="0.3">
      <c r="A12" t="s">
        <v>49</v>
      </c>
    </row>
    <row r="13" spans="1:15" x14ac:dyDescent="0.3">
      <c r="A13" t="s">
        <v>48</v>
      </c>
      <c r="C13">
        <v>114483</v>
      </c>
    </row>
    <row r="14" spans="1:15" x14ac:dyDescent="0.3">
      <c r="A14" s="13" t="s">
        <v>33</v>
      </c>
      <c r="B14" s="13" t="s">
        <v>23</v>
      </c>
      <c r="C14" s="13" t="s">
        <v>25</v>
      </c>
      <c r="D14" s="13" t="s">
        <v>30</v>
      </c>
      <c r="E14" s="13" t="s">
        <v>34</v>
      </c>
      <c r="F14" s="14" t="s">
        <v>37</v>
      </c>
      <c r="G14" s="14" t="s">
        <v>6</v>
      </c>
      <c r="H14" s="13" t="s">
        <v>38</v>
      </c>
      <c r="I14" s="13" t="s">
        <v>39</v>
      </c>
      <c r="J14" s="13" t="s">
        <v>40</v>
      </c>
      <c r="K14" s="15" t="s">
        <v>41</v>
      </c>
      <c r="L14" s="17" t="s">
        <v>45</v>
      </c>
      <c r="M14" s="13" t="s">
        <v>46</v>
      </c>
      <c r="N14" s="13" t="s">
        <v>50</v>
      </c>
      <c r="O14" s="13" t="s">
        <v>51</v>
      </c>
    </row>
    <row r="15" spans="1:15" x14ac:dyDescent="0.3">
      <c r="A15" s="8" t="s">
        <v>11</v>
      </c>
      <c r="B15" s="8"/>
      <c r="C15" s="8">
        <v>101</v>
      </c>
      <c r="D15" s="9">
        <f>C15*291</f>
        <v>29391</v>
      </c>
      <c r="E15" s="9">
        <f>$C$2/12</f>
        <v>12246.333333333334</v>
      </c>
      <c r="F15" s="10">
        <f>$C$3/13</f>
        <v>0</v>
      </c>
      <c r="G15" s="11">
        <f>$C$4/12</f>
        <v>0</v>
      </c>
      <c r="H15" s="9">
        <f>$C$5/12</f>
        <v>1247.1666666666667</v>
      </c>
      <c r="I15" s="9">
        <f t="shared" ref="I15:I26" si="0">$C$6/12</f>
        <v>7791.666666666667</v>
      </c>
      <c r="J15" s="9">
        <f>($C$7+$C$8)/12</f>
        <v>1805.5</v>
      </c>
      <c r="K15" s="16">
        <f>$C$9/12</f>
        <v>35589.75</v>
      </c>
      <c r="L15" s="4">
        <f>$C$10/12</f>
        <v>0</v>
      </c>
      <c r="M15" s="4">
        <f>$C$11/12</f>
        <v>44036.75</v>
      </c>
      <c r="N15" s="4">
        <f>$C$12/12</f>
        <v>0</v>
      </c>
      <c r="O15" s="6">
        <f>$C$13/12</f>
        <v>9540.25</v>
      </c>
    </row>
    <row r="16" spans="1:15" x14ac:dyDescent="0.3">
      <c r="A16" s="8" t="s">
        <v>12</v>
      </c>
      <c r="B16" s="8"/>
      <c r="C16" s="8">
        <v>20</v>
      </c>
      <c r="D16" s="9">
        <f t="shared" ref="D16:D26" si="1">C16*291</f>
        <v>5820</v>
      </c>
      <c r="E16" s="9">
        <f t="shared" ref="E16:E26" si="2">$C$2/12</f>
        <v>12246.333333333334</v>
      </c>
      <c r="F16" s="10">
        <f t="shared" ref="F16:F26" si="3">$C$3/13</f>
        <v>0</v>
      </c>
      <c r="G16" s="11">
        <f t="shared" ref="G16:G26" si="4">$C$4/12</f>
        <v>0</v>
      </c>
      <c r="H16" s="9">
        <f t="shared" ref="H16:H26" si="5">$C$5/12</f>
        <v>1247.1666666666667</v>
      </c>
      <c r="I16" s="9">
        <f t="shared" si="0"/>
        <v>7791.666666666667</v>
      </c>
      <c r="J16" s="9">
        <f t="shared" ref="J16:J26" si="6">($C$7+$C$8)/12</f>
        <v>1805.5</v>
      </c>
      <c r="K16" s="16">
        <f t="shared" ref="K16:K26" si="7">$C$9/12</f>
        <v>35589.75</v>
      </c>
      <c r="L16" s="4">
        <f t="shared" ref="L16:L26" si="8">$C$10/12</f>
        <v>0</v>
      </c>
      <c r="M16" s="4">
        <f t="shared" ref="M16:M26" si="9">$C$11/12</f>
        <v>44036.75</v>
      </c>
      <c r="N16" s="4">
        <f t="shared" ref="N16:N26" si="10">$C$12/12</f>
        <v>0</v>
      </c>
      <c r="O16" s="6">
        <f t="shared" ref="O16:O25" si="11">$C$13/12</f>
        <v>9540.25</v>
      </c>
    </row>
    <row r="17" spans="1:15" x14ac:dyDescent="0.3">
      <c r="A17" s="8" t="s">
        <v>13</v>
      </c>
      <c r="B17" s="8"/>
      <c r="C17" s="8">
        <v>124</v>
      </c>
      <c r="D17" s="9">
        <f t="shared" si="1"/>
        <v>36084</v>
      </c>
      <c r="E17" s="9">
        <f t="shared" si="2"/>
        <v>12246.333333333334</v>
      </c>
      <c r="F17" s="10">
        <f t="shared" si="3"/>
        <v>0</v>
      </c>
      <c r="G17" s="11">
        <f t="shared" si="4"/>
        <v>0</v>
      </c>
      <c r="H17" s="9">
        <f t="shared" si="5"/>
        <v>1247.1666666666667</v>
      </c>
      <c r="I17" s="9">
        <f t="shared" si="0"/>
        <v>7791.666666666667</v>
      </c>
      <c r="J17" s="9">
        <f t="shared" si="6"/>
        <v>1805.5</v>
      </c>
      <c r="K17" s="16">
        <f t="shared" si="7"/>
        <v>35589.75</v>
      </c>
      <c r="L17" s="4">
        <f t="shared" si="8"/>
        <v>0</v>
      </c>
      <c r="M17" s="4">
        <f t="shared" si="9"/>
        <v>44036.75</v>
      </c>
      <c r="N17" s="4">
        <f t="shared" si="10"/>
        <v>0</v>
      </c>
      <c r="O17" s="6">
        <f t="shared" si="11"/>
        <v>9540.25</v>
      </c>
    </row>
    <row r="18" spans="1:15" x14ac:dyDescent="0.3">
      <c r="A18" s="8" t="s">
        <v>14</v>
      </c>
      <c r="B18" s="8"/>
      <c r="C18" s="12">
        <v>6</v>
      </c>
      <c r="D18" s="9">
        <f t="shared" si="1"/>
        <v>1746</v>
      </c>
      <c r="E18" s="9">
        <f t="shared" si="2"/>
        <v>12246.333333333334</v>
      </c>
      <c r="F18" s="10">
        <f t="shared" si="3"/>
        <v>0</v>
      </c>
      <c r="G18" s="11">
        <f t="shared" si="4"/>
        <v>0</v>
      </c>
      <c r="H18" s="9">
        <f t="shared" si="5"/>
        <v>1247.1666666666667</v>
      </c>
      <c r="I18" s="9">
        <f t="shared" si="0"/>
        <v>7791.666666666667</v>
      </c>
      <c r="J18" s="9">
        <f t="shared" si="6"/>
        <v>1805.5</v>
      </c>
      <c r="K18" s="16">
        <f t="shared" si="7"/>
        <v>35589.75</v>
      </c>
      <c r="L18" s="4">
        <f t="shared" si="8"/>
        <v>0</v>
      </c>
      <c r="M18" s="4">
        <f t="shared" si="9"/>
        <v>44036.75</v>
      </c>
      <c r="N18" s="4">
        <f t="shared" si="10"/>
        <v>0</v>
      </c>
      <c r="O18" s="6">
        <f t="shared" si="11"/>
        <v>9540.25</v>
      </c>
    </row>
    <row r="19" spans="1:15" x14ac:dyDescent="0.3">
      <c r="A19" s="8" t="s">
        <v>15</v>
      </c>
      <c r="B19" s="8"/>
      <c r="C19" s="8">
        <v>3</v>
      </c>
      <c r="D19" s="9">
        <f t="shared" si="1"/>
        <v>873</v>
      </c>
      <c r="E19" s="9">
        <f t="shared" si="2"/>
        <v>12246.333333333334</v>
      </c>
      <c r="F19" s="10">
        <f t="shared" si="3"/>
        <v>0</v>
      </c>
      <c r="G19" s="11">
        <f t="shared" si="4"/>
        <v>0</v>
      </c>
      <c r="H19" s="9">
        <f t="shared" si="5"/>
        <v>1247.1666666666667</v>
      </c>
      <c r="I19" s="9">
        <f t="shared" si="0"/>
        <v>7791.666666666667</v>
      </c>
      <c r="J19" s="9">
        <f t="shared" si="6"/>
        <v>1805.5</v>
      </c>
      <c r="K19" s="16">
        <f t="shared" si="7"/>
        <v>35589.75</v>
      </c>
      <c r="L19" s="4">
        <f t="shared" si="8"/>
        <v>0</v>
      </c>
      <c r="M19" s="4">
        <f t="shared" si="9"/>
        <v>44036.75</v>
      </c>
      <c r="N19" s="4">
        <f t="shared" si="10"/>
        <v>0</v>
      </c>
      <c r="O19" s="6">
        <f t="shared" si="11"/>
        <v>9540.25</v>
      </c>
    </row>
    <row r="20" spans="1:15" x14ac:dyDescent="0.3">
      <c r="A20" s="8" t="s">
        <v>16</v>
      </c>
      <c r="B20" s="8"/>
      <c r="C20" s="8"/>
      <c r="D20" s="9">
        <f t="shared" si="1"/>
        <v>0</v>
      </c>
      <c r="E20" s="9">
        <f t="shared" si="2"/>
        <v>12246.333333333334</v>
      </c>
      <c r="F20" s="10">
        <f t="shared" si="3"/>
        <v>0</v>
      </c>
      <c r="G20" s="11">
        <f t="shared" si="4"/>
        <v>0</v>
      </c>
      <c r="H20" s="9">
        <f t="shared" si="5"/>
        <v>1247.1666666666667</v>
      </c>
      <c r="I20" s="9">
        <f t="shared" si="0"/>
        <v>7791.666666666667</v>
      </c>
      <c r="J20" s="9">
        <f t="shared" si="6"/>
        <v>1805.5</v>
      </c>
      <c r="K20" s="16">
        <f t="shared" si="7"/>
        <v>35589.75</v>
      </c>
      <c r="L20" s="4">
        <f t="shared" si="8"/>
        <v>0</v>
      </c>
      <c r="M20" s="4">
        <f t="shared" si="9"/>
        <v>44036.75</v>
      </c>
      <c r="N20" s="4">
        <f t="shared" si="10"/>
        <v>0</v>
      </c>
      <c r="O20" s="6">
        <f t="shared" si="11"/>
        <v>9540.25</v>
      </c>
    </row>
    <row r="21" spans="1:15" x14ac:dyDescent="0.3">
      <c r="A21" s="8" t="s">
        <v>17</v>
      </c>
      <c r="B21" s="8"/>
      <c r="C21" s="8">
        <v>8</v>
      </c>
      <c r="D21" s="9">
        <f t="shared" si="1"/>
        <v>2328</v>
      </c>
      <c r="E21" s="9">
        <f t="shared" si="2"/>
        <v>12246.333333333334</v>
      </c>
      <c r="F21" s="10">
        <f t="shared" si="3"/>
        <v>0</v>
      </c>
      <c r="G21" s="11">
        <f t="shared" si="4"/>
        <v>0</v>
      </c>
      <c r="H21" s="9">
        <f t="shared" si="5"/>
        <v>1247.1666666666667</v>
      </c>
      <c r="I21" s="9">
        <f t="shared" si="0"/>
        <v>7791.666666666667</v>
      </c>
      <c r="J21" s="9">
        <f t="shared" si="6"/>
        <v>1805.5</v>
      </c>
      <c r="K21" s="16">
        <f t="shared" si="7"/>
        <v>35589.75</v>
      </c>
      <c r="L21" s="4">
        <f t="shared" si="8"/>
        <v>0</v>
      </c>
      <c r="M21" s="4">
        <f t="shared" si="9"/>
        <v>44036.75</v>
      </c>
      <c r="N21" s="4">
        <f t="shared" si="10"/>
        <v>0</v>
      </c>
      <c r="O21" s="6">
        <f t="shared" si="11"/>
        <v>9540.25</v>
      </c>
    </row>
    <row r="22" spans="1:15" x14ac:dyDescent="0.3">
      <c r="A22" s="8" t="s">
        <v>18</v>
      </c>
      <c r="B22" s="8"/>
      <c r="C22" s="8">
        <v>1</v>
      </c>
      <c r="D22" s="9">
        <f t="shared" si="1"/>
        <v>291</v>
      </c>
      <c r="E22" s="9">
        <f t="shared" si="2"/>
        <v>12246.333333333334</v>
      </c>
      <c r="F22" s="10">
        <f t="shared" si="3"/>
        <v>0</v>
      </c>
      <c r="G22" s="11">
        <f t="shared" si="4"/>
        <v>0</v>
      </c>
      <c r="H22" s="9">
        <f t="shared" si="5"/>
        <v>1247.1666666666667</v>
      </c>
      <c r="I22" s="9">
        <f t="shared" si="0"/>
        <v>7791.666666666667</v>
      </c>
      <c r="J22" s="9">
        <f t="shared" si="6"/>
        <v>1805.5</v>
      </c>
      <c r="K22" s="16">
        <f t="shared" si="7"/>
        <v>35589.75</v>
      </c>
      <c r="L22" s="4">
        <f t="shared" si="8"/>
        <v>0</v>
      </c>
      <c r="M22" s="4">
        <f t="shared" si="9"/>
        <v>44036.75</v>
      </c>
      <c r="N22" s="4">
        <f t="shared" si="10"/>
        <v>0</v>
      </c>
      <c r="O22" s="6">
        <f t="shared" si="11"/>
        <v>9540.25</v>
      </c>
    </row>
    <row r="23" spans="1:15" x14ac:dyDescent="0.3">
      <c r="A23" s="8" t="s">
        <v>19</v>
      </c>
      <c r="B23" s="8"/>
      <c r="C23" s="8">
        <v>142</v>
      </c>
      <c r="D23" s="9">
        <f t="shared" si="1"/>
        <v>41322</v>
      </c>
      <c r="E23" s="9">
        <f t="shared" si="2"/>
        <v>12246.333333333334</v>
      </c>
      <c r="F23" s="10">
        <f t="shared" si="3"/>
        <v>0</v>
      </c>
      <c r="G23" s="11">
        <f t="shared" si="4"/>
        <v>0</v>
      </c>
      <c r="H23" s="9">
        <f t="shared" si="5"/>
        <v>1247.1666666666667</v>
      </c>
      <c r="I23" s="9">
        <f t="shared" si="0"/>
        <v>7791.666666666667</v>
      </c>
      <c r="J23" s="9">
        <f t="shared" si="6"/>
        <v>1805.5</v>
      </c>
      <c r="K23" s="16">
        <f t="shared" si="7"/>
        <v>35589.75</v>
      </c>
      <c r="L23" s="4">
        <f t="shared" si="8"/>
        <v>0</v>
      </c>
      <c r="M23" s="4">
        <f t="shared" si="9"/>
        <v>44036.75</v>
      </c>
      <c r="N23" s="4">
        <f t="shared" si="10"/>
        <v>0</v>
      </c>
      <c r="O23" s="6">
        <f t="shared" si="11"/>
        <v>9540.25</v>
      </c>
    </row>
    <row r="24" spans="1:15" x14ac:dyDescent="0.3">
      <c r="A24" s="8" t="s">
        <v>20</v>
      </c>
      <c r="B24" s="8"/>
      <c r="C24" s="8"/>
      <c r="D24" s="9">
        <f t="shared" si="1"/>
        <v>0</v>
      </c>
      <c r="E24" s="9">
        <f t="shared" si="2"/>
        <v>12246.333333333334</v>
      </c>
      <c r="F24" s="10">
        <f t="shared" si="3"/>
        <v>0</v>
      </c>
      <c r="G24" s="11">
        <f t="shared" si="4"/>
        <v>0</v>
      </c>
      <c r="H24" s="9">
        <f t="shared" si="5"/>
        <v>1247.1666666666667</v>
      </c>
      <c r="I24" s="9">
        <f t="shared" si="0"/>
        <v>7791.666666666667</v>
      </c>
      <c r="J24" s="9">
        <f t="shared" si="6"/>
        <v>1805.5</v>
      </c>
      <c r="K24" s="16">
        <f t="shared" si="7"/>
        <v>35589.75</v>
      </c>
      <c r="L24" s="4">
        <f t="shared" si="8"/>
        <v>0</v>
      </c>
      <c r="M24" s="4">
        <f t="shared" si="9"/>
        <v>44036.75</v>
      </c>
      <c r="N24" s="4">
        <f t="shared" si="10"/>
        <v>0</v>
      </c>
      <c r="O24" s="6">
        <f t="shared" si="11"/>
        <v>9540.25</v>
      </c>
    </row>
    <row r="25" spans="1:15" x14ac:dyDescent="0.3">
      <c r="A25" s="8" t="s">
        <v>21</v>
      </c>
      <c r="B25" s="8"/>
      <c r="C25" s="8">
        <v>51</v>
      </c>
      <c r="D25" s="9">
        <f t="shared" si="1"/>
        <v>14841</v>
      </c>
      <c r="E25" s="9">
        <f t="shared" si="2"/>
        <v>12246.333333333334</v>
      </c>
      <c r="F25" s="10">
        <f t="shared" si="3"/>
        <v>0</v>
      </c>
      <c r="G25" s="11">
        <f t="shared" si="4"/>
        <v>0</v>
      </c>
      <c r="H25" s="9">
        <f t="shared" si="5"/>
        <v>1247.1666666666667</v>
      </c>
      <c r="I25" s="9">
        <f t="shared" si="0"/>
        <v>7791.666666666667</v>
      </c>
      <c r="J25" s="9">
        <f t="shared" si="6"/>
        <v>1805.5</v>
      </c>
      <c r="K25" s="16">
        <f t="shared" si="7"/>
        <v>35589.75</v>
      </c>
      <c r="L25" s="4">
        <f t="shared" si="8"/>
        <v>0</v>
      </c>
      <c r="M25" s="4">
        <f t="shared" si="9"/>
        <v>44036.75</v>
      </c>
      <c r="N25" s="4">
        <f t="shared" si="10"/>
        <v>0</v>
      </c>
      <c r="O25" s="6">
        <f t="shared" si="11"/>
        <v>9540.25</v>
      </c>
    </row>
    <row r="26" spans="1:15" x14ac:dyDescent="0.3">
      <c r="A26" s="8" t="s">
        <v>22</v>
      </c>
      <c r="B26" s="8"/>
      <c r="C26" s="8"/>
      <c r="D26" s="9">
        <f t="shared" si="1"/>
        <v>0</v>
      </c>
      <c r="E26" s="9">
        <f t="shared" si="2"/>
        <v>12246.333333333334</v>
      </c>
      <c r="F26" s="10">
        <f t="shared" si="3"/>
        <v>0</v>
      </c>
      <c r="G26" s="11">
        <f t="shared" si="4"/>
        <v>0</v>
      </c>
      <c r="H26" s="9">
        <f t="shared" si="5"/>
        <v>1247.1666666666667</v>
      </c>
      <c r="I26" s="9">
        <f t="shared" si="0"/>
        <v>7791.666666666667</v>
      </c>
      <c r="J26" s="9">
        <f t="shared" si="6"/>
        <v>1805.5</v>
      </c>
      <c r="K26" s="16">
        <f t="shared" si="7"/>
        <v>35589.75</v>
      </c>
      <c r="L26" s="4">
        <f t="shared" si="8"/>
        <v>0</v>
      </c>
      <c r="M26" s="4">
        <f t="shared" si="9"/>
        <v>44036.75</v>
      </c>
      <c r="N26" s="4">
        <f t="shared" si="10"/>
        <v>0</v>
      </c>
      <c r="O26" s="6">
        <f>$C$13/12</f>
        <v>9540.25</v>
      </c>
    </row>
    <row r="27" spans="1:15" x14ac:dyDescent="0.3">
      <c r="D27" s="2"/>
      <c r="E27" s="2"/>
      <c r="F27" s="2"/>
      <c r="G27" s="2"/>
      <c r="H27" s="2"/>
      <c r="I27" s="2"/>
      <c r="J27" s="2"/>
      <c r="K27" s="2"/>
      <c r="L27" s="2"/>
      <c r="M27" s="2"/>
    </row>
    <row r="30" spans="1:15" x14ac:dyDescent="0.3">
      <c r="A30" s="18"/>
      <c r="B30" s="19"/>
    </row>
    <row r="31" spans="1:15" x14ac:dyDescent="0.3">
      <c r="A31" s="18"/>
      <c r="B31" s="19"/>
    </row>
    <row r="32" spans="1:15" x14ac:dyDescent="0.3">
      <c r="A32" s="18"/>
      <c r="B32" s="19"/>
    </row>
    <row r="33" spans="1:2" x14ac:dyDescent="0.3">
      <c r="A33" s="18"/>
      <c r="B33" s="19"/>
    </row>
    <row r="34" spans="1:2" x14ac:dyDescent="0.3">
      <c r="A34" s="18"/>
      <c r="B34" s="19"/>
    </row>
    <row r="35" spans="1:2" x14ac:dyDescent="0.3">
      <c r="A35" s="18"/>
      <c r="B35" s="19"/>
    </row>
    <row r="36" spans="1:2" x14ac:dyDescent="0.3">
      <c r="A36" s="18"/>
      <c r="B36" s="19"/>
    </row>
    <row r="37" spans="1:2" x14ac:dyDescent="0.3">
      <c r="A37" s="18"/>
      <c r="B37" s="19"/>
    </row>
    <row r="38" spans="1:2" x14ac:dyDescent="0.3">
      <c r="A38" s="18"/>
      <c r="B38" s="1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7B59D-D1B1-476D-ABFC-F87E64F66B97}">
  <dimension ref="A1:O27"/>
  <sheetViews>
    <sheetView zoomScale="75" zoomScaleNormal="75" workbookViewId="0">
      <selection activeCell="D15" sqref="D15:O26"/>
    </sheetView>
  </sheetViews>
  <sheetFormatPr defaultRowHeight="14.4" x14ac:dyDescent="0.3"/>
  <cols>
    <col min="1" max="1" width="29" bestFit="1" customWidth="1"/>
    <col min="2" max="2" width="16.109375" bestFit="1" customWidth="1"/>
    <col min="3" max="3" width="16.77734375" bestFit="1" customWidth="1"/>
    <col min="4" max="4" width="15.6640625" bestFit="1" customWidth="1"/>
    <col min="5" max="5" width="14.6640625" bestFit="1" customWidth="1"/>
    <col min="6" max="6" width="21.5546875" bestFit="1" customWidth="1"/>
    <col min="7" max="7" width="20" bestFit="1" customWidth="1"/>
    <col min="8" max="8" width="13.5546875" bestFit="1" customWidth="1"/>
    <col min="9" max="9" width="11.88671875" customWidth="1"/>
    <col min="10" max="10" width="13.44140625" bestFit="1" customWidth="1"/>
    <col min="11" max="11" width="11.77734375" customWidth="1"/>
    <col min="12" max="12" width="16.77734375" bestFit="1" customWidth="1"/>
    <col min="13" max="13" width="17.6640625" bestFit="1" customWidth="1"/>
    <col min="14" max="14" width="22.33203125" bestFit="1" customWidth="1"/>
    <col min="15" max="15" width="18.88671875" bestFit="1" customWidth="1"/>
  </cols>
  <sheetData>
    <row r="1" spans="1:15" x14ac:dyDescent="0.3">
      <c r="A1" s="3" t="s">
        <v>1</v>
      </c>
      <c r="B1" s="3" t="s">
        <v>2</v>
      </c>
      <c r="C1" s="3" t="s">
        <v>35</v>
      </c>
      <c r="D1" s="7" t="s">
        <v>36</v>
      </c>
      <c r="E1" s="4">
        <v>53481</v>
      </c>
      <c r="G1" s="7" t="s">
        <v>0</v>
      </c>
      <c r="H1" s="6">
        <v>72365</v>
      </c>
      <c r="J1" s="2">
        <f>SUM(C2:C12)+E1+H1+C13</f>
        <v>1472211</v>
      </c>
    </row>
    <row r="2" spans="1:15" x14ac:dyDescent="0.3">
      <c r="A2" t="s">
        <v>3</v>
      </c>
      <c r="C2" s="1">
        <v>73400</v>
      </c>
      <c r="D2" s="6" t="s">
        <v>28</v>
      </c>
      <c r="E2" s="6">
        <f>B16+B17+B21+B22+B24+B25</f>
        <v>0</v>
      </c>
      <c r="G2" s="6" t="s">
        <v>28</v>
      </c>
      <c r="H2" s="6"/>
    </row>
    <row r="3" spans="1:15" x14ac:dyDescent="0.3">
      <c r="A3" t="s">
        <v>9</v>
      </c>
      <c r="C3" s="2">
        <v>0</v>
      </c>
      <c r="D3" s="6" t="s">
        <v>29</v>
      </c>
      <c r="E3" s="4" t="e">
        <f>E1/E2</f>
        <v>#DIV/0!</v>
      </c>
      <c r="G3" s="6" t="s">
        <v>31</v>
      </c>
      <c r="H3" s="4" t="e">
        <f>H1/H2</f>
        <v>#DIV/0!</v>
      </c>
    </row>
    <row r="4" spans="1:15" x14ac:dyDescent="0.3">
      <c r="A4" t="s">
        <v>6</v>
      </c>
      <c r="B4" s="1"/>
      <c r="C4" s="2">
        <v>0</v>
      </c>
    </row>
    <row r="5" spans="1:15" x14ac:dyDescent="0.3">
      <c r="A5" t="s">
        <v>5</v>
      </c>
      <c r="B5" s="1"/>
      <c r="C5" s="2">
        <v>86497</v>
      </c>
      <c r="E5" s="2"/>
    </row>
    <row r="6" spans="1:15" x14ac:dyDescent="0.3">
      <c r="A6" t="s">
        <v>42</v>
      </c>
      <c r="C6" s="2">
        <v>5400</v>
      </c>
      <c r="D6" s="2"/>
      <c r="E6" s="2"/>
    </row>
    <row r="7" spans="1:15" x14ac:dyDescent="0.3">
      <c r="A7" t="s">
        <v>7</v>
      </c>
      <c r="C7" s="2">
        <v>20934</v>
      </c>
      <c r="E7" t="s">
        <v>53</v>
      </c>
      <c r="F7" s="2">
        <f>E1+H1</f>
        <v>125846</v>
      </c>
    </row>
    <row r="8" spans="1:15" x14ac:dyDescent="0.3">
      <c r="A8" t="s">
        <v>47</v>
      </c>
      <c r="C8" s="1">
        <v>2087</v>
      </c>
      <c r="E8" t="s">
        <v>54</v>
      </c>
      <c r="F8">
        <f>SUM(C14:C25)</f>
        <v>299</v>
      </c>
    </row>
    <row r="9" spans="1:15" x14ac:dyDescent="0.3">
      <c r="A9" t="s">
        <v>10</v>
      </c>
      <c r="C9" s="2">
        <f>407156+22857</f>
        <v>430013</v>
      </c>
      <c r="D9" s="2"/>
      <c r="E9" t="s">
        <v>55</v>
      </c>
      <c r="F9" s="2">
        <f>F7/F8</f>
        <v>420.88963210702343</v>
      </c>
    </row>
    <row r="10" spans="1:15" x14ac:dyDescent="0.3">
      <c r="A10" t="s">
        <v>45</v>
      </c>
      <c r="C10" s="2">
        <v>50313</v>
      </c>
    </row>
    <row r="11" spans="1:15" x14ac:dyDescent="0.3">
      <c r="A11" t="s">
        <v>46</v>
      </c>
      <c r="C11" s="2">
        <v>642221</v>
      </c>
    </row>
    <row r="12" spans="1:15" x14ac:dyDescent="0.3">
      <c r="A12" t="s">
        <v>49</v>
      </c>
      <c r="C12">
        <f>4475+31025</f>
        <v>35500</v>
      </c>
    </row>
    <row r="13" spans="1:15" x14ac:dyDescent="0.3">
      <c r="A13" t="s">
        <v>48</v>
      </c>
    </row>
    <row r="14" spans="1:15" x14ac:dyDescent="0.3">
      <c r="A14" s="13" t="s">
        <v>33</v>
      </c>
      <c r="B14" s="13" t="s">
        <v>23</v>
      </c>
      <c r="C14" s="13" t="s">
        <v>25</v>
      </c>
      <c r="D14" s="13" t="s">
        <v>30</v>
      </c>
      <c r="E14" s="13" t="s">
        <v>34</v>
      </c>
      <c r="F14" s="14" t="s">
        <v>37</v>
      </c>
      <c r="G14" s="14" t="s">
        <v>6</v>
      </c>
      <c r="H14" s="13" t="s">
        <v>38</v>
      </c>
      <c r="I14" s="13" t="s">
        <v>39</v>
      </c>
      <c r="J14" s="13" t="s">
        <v>40</v>
      </c>
      <c r="K14" s="15" t="s">
        <v>41</v>
      </c>
      <c r="L14" s="17" t="s">
        <v>45</v>
      </c>
      <c r="M14" s="13" t="s">
        <v>46</v>
      </c>
      <c r="N14" s="13" t="s">
        <v>50</v>
      </c>
      <c r="O14" s="13" t="s">
        <v>51</v>
      </c>
    </row>
    <row r="15" spans="1:15" x14ac:dyDescent="0.3">
      <c r="A15" s="8" t="s">
        <v>11</v>
      </c>
      <c r="B15" s="8"/>
      <c r="C15" s="8">
        <v>20</v>
      </c>
      <c r="D15" s="9">
        <f>C15*421</f>
        <v>8420</v>
      </c>
      <c r="E15" s="9">
        <f>$C$2/12</f>
        <v>6116.666666666667</v>
      </c>
      <c r="F15" s="10">
        <f>$C$3/13</f>
        <v>0</v>
      </c>
      <c r="G15" s="11">
        <f>$C$4/12</f>
        <v>0</v>
      </c>
      <c r="H15" s="9">
        <f>$C$5/12</f>
        <v>7208.083333333333</v>
      </c>
      <c r="I15" s="9">
        <f t="shared" ref="I15:I26" si="0">$C$6/12</f>
        <v>450</v>
      </c>
      <c r="J15" s="9">
        <f>($C$7+$C$8)/12</f>
        <v>1918.4166666666667</v>
      </c>
      <c r="K15" s="16">
        <f>$C$9/12</f>
        <v>35834.416666666664</v>
      </c>
      <c r="L15" s="4">
        <f>$C$10/12</f>
        <v>4192.75</v>
      </c>
      <c r="M15" s="4">
        <f>$C$11/12</f>
        <v>53518.416666666664</v>
      </c>
      <c r="N15" s="4">
        <f>$C$12/12</f>
        <v>2958.3333333333335</v>
      </c>
      <c r="O15" s="6">
        <f>$C$13/12</f>
        <v>0</v>
      </c>
    </row>
    <row r="16" spans="1:15" x14ac:dyDescent="0.3">
      <c r="A16" s="8" t="s">
        <v>12</v>
      </c>
      <c r="B16" s="8"/>
      <c r="C16" s="8">
        <v>10</v>
      </c>
      <c r="D16" s="9">
        <f t="shared" ref="D16:D26" si="1">C16*421</f>
        <v>4210</v>
      </c>
      <c r="E16" s="9">
        <f t="shared" ref="E16:E26" si="2">$C$2/12</f>
        <v>6116.666666666667</v>
      </c>
      <c r="F16" s="10">
        <f t="shared" ref="F16:F26" si="3">$C$3/13</f>
        <v>0</v>
      </c>
      <c r="G16" s="11">
        <f t="shared" ref="G16:G26" si="4">$C$4/12</f>
        <v>0</v>
      </c>
      <c r="H16" s="9">
        <f t="shared" ref="H16:H26" si="5">$C$5/12</f>
        <v>7208.083333333333</v>
      </c>
      <c r="I16" s="9">
        <f t="shared" si="0"/>
        <v>450</v>
      </c>
      <c r="J16" s="9">
        <f t="shared" ref="J16:J26" si="6">($C$7+$C$8)/12</f>
        <v>1918.4166666666667</v>
      </c>
      <c r="K16" s="16">
        <f t="shared" ref="K16:K26" si="7">$C$9/12</f>
        <v>35834.416666666664</v>
      </c>
      <c r="L16" s="4">
        <f t="shared" ref="L16:L26" si="8">$C$10/12</f>
        <v>4192.75</v>
      </c>
      <c r="M16" s="4">
        <f t="shared" ref="M16:M26" si="9">$C$11/12</f>
        <v>53518.416666666664</v>
      </c>
      <c r="N16" s="4">
        <f t="shared" ref="N16:N26" si="10">$C$12/12</f>
        <v>2958.3333333333335</v>
      </c>
      <c r="O16" s="6">
        <f t="shared" ref="O16:O25" si="11">$C$13/12</f>
        <v>0</v>
      </c>
    </row>
    <row r="17" spans="1:15" x14ac:dyDescent="0.3">
      <c r="A17" s="8" t="s">
        <v>13</v>
      </c>
      <c r="B17" s="8"/>
      <c r="C17" s="8">
        <v>82</v>
      </c>
      <c r="D17" s="9">
        <f t="shared" si="1"/>
        <v>34522</v>
      </c>
      <c r="E17" s="9">
        <f t="shared" si="2"/>
        <v>6116.666666666667</v>
      </c>
      <c r="F17" s="10">
        <f t="shared" si="3"/>
        <v>0</v>
      </c>
      <c r="G17" s="11">
        <f t="shared" si="4"/>
        <v>0</v>
      </c>
      <c r="H17" s="9">
        <f t="shared" si="5"/>
        <v>7208.083333333333</v>
      </c>
      <c r="I17" s="9">
        <f t="shared" si="0"/>
        <v>450</v>
      </c>
      <c r="J17" s="9">
        <f t="shared" si="6"/>
        <v>1918.4166666666667</v>
      </c>
      <c r="K17" s="16">
        <f t="shared" si="7"/>
        <v>35834.416666666664</v>
      </c>
      <c r="L17" s="4">
        <f t="shared" si="8"/>
        <v>4192.75</v>
      </c>
      <c r="M17" s="4">
        <f t="shared" si="9"/>
        <v>53518.416666666664</v>
      </c>
      <c r="N17" s="4">
        <f t="shared" si="10"/>
        <v>2958.3333333333335</v>
      </c>
      <c r="O17" s="6">
        <f t="shared" si="11"/>
        <v>0</v>
      </c>
    </row>
    <row r="18" spans="1:15" x14ac:dyDescent="0.3">
      <c r="A18" s="8" t="s">
        <v>14</v>
      </c>
      <c r="B18" s="8"/>
      <c r="C18" s="12">
        <v>4</v>
      </c>
      <c r="D18" s="9">
        <f t="shared" si="1"/>
        <v>1684</v>
      </c>
      <c r="E18" s="9">
        <f t="shared" si="2"/>
        <v>6116.666666666667</v>
      </c>
      <c r="F18" s="10">
        <f t="shared" si="3"/>
        <v>0</v>
      </c>
      <c r="G18" s="11">
        <f t="shared" si="4"/>
        <v>0</v>
      </c>
      <c r="H18" s="9">
        <f t="shared" si="5"/>
        <v>7208.083333333333</v>
      </c>
      <c r="I18" s="9">
        <f t="shared" si="0"/>
        <v>450</v>
      </c>
      <c r="J18" s="9">
        <f t="shared" si="6"/>
        <v>1918.4166666666667</v>
      </c>
      <c r="K18" s="16">
        <f t="shared" si="7"/>
        <v>35834.416666666664</v>
      </c>
      <c r="L18" s="4">
        <f t="shared" si="8"/>
        <v>4192.75</v>
      </c>
      <c r="M18" s="4">
        <f t="shared" si="9"/>
        <v>53518.416666666664</v>
      </c>
      <c r="N18" s="4">
        <f t="shared" si="10"/>
        <v>2958.3333333333335</v>
      </c>
      <c r="O18" s="6">
        <f t="shared" si="11"/>
        <v>0</v>
      </c>
    </row>
    <row r="19" spans="1:15" x14ac:dyDescent="0.3">
      <c r="A19" s="8" t="s">
        <v>15</v>
      </c>
      <c r="B19" s="8"/>
      <c r="C19" s="8">
        <v>5</v>
      </c>
      <c r="D19" s="9">
        <f t="shared" si="1"/>
        <v>2105</v>
      </c>
      <c r="E19" s="9">
        <f t="shared" si="2"/>
        <v>6116.666666666667</v>
      </c>
      <c r="F19" s="10">
        <f t="shared" si="3"/>
        <v>0</v>
      </c>
      <c r="G19" s="11">
        <f t="shared" si="4"/>
        <v>0</v>
      </c>
      <c r="H19" s="9">
        <f t="shared" si="5"/>
        <v>7208.083333333333</v>
      </c>
      <c r="I19" s="9">
        <f t="shared" si="0"/>
        <v>450</v>
      </c>
      <c r="J19" s="9">
        <f t="shared" si="6"/>
        <v>1918.4166666666667</v>
      </c>
      <c r="K19" s="16">
        <f t="shared" si="7"/>
        <v>35834.416666666664</v>
      </c>
      <c r="L19" s="4">
        <f t="shared" si="8"/>
        <v>4192.75</v>
      </c>
      <c r="M19" s="4">
        <f t="shared" si="9"/>
        <v>53518.416666666664</v>
      </c>
      <c r="N19" s="4">
        <f t="shared" si="10"/>
        <v>2958.3333333333335</v>
      </c>
      <c r="O19" s="6">
        <f t="shared" si="11"/>
        <v>0</v>
      </c>
    </row>
    <row r="20" spans="1:15" x14ac:dyDescent="0.3">
      <c r="A20" s="8" t="s">
        <v>16</v>
      </c>
      <c r="B20" s="8"/>
      <c r="C20" s="8"/>
      <c r="D20" s="9">
        <f t="shared" si="1"/>
        <v>0</v>
      </c>
      <c r="E20" s="9">
        <f t="shared" si="2"/>
        <v>6116.666666666667</v>
      </c>
      <c r="F20" s="10">
        <f t="shared" si="3"/>
        <v>0</v>
      </c>
      <c r="G20" s="11">
        <f t="shared" si="4"/>
        <v>0</v>
      </c>
      <c r="H20" s="9">
        <f t="shared" si="5"/>
        <v>7208.083333333333</v>
      </c>
      <c r="I20" s="9">
        <f t="shared" si="0"/>
        <v>450</v>
      </c>
      <c r="J20" s="9">
        <f t="shared" si="6"/>
        <v>1918.4166666666667</v>
      </c>
      <c r="K20" s="16">
        <f t="shared" si="7"/>
        <v>35834.416666666664</v>
      </c>
      <c r="L20" s="4">
        <f t="shared" si="8"/>
        <v>4192.75</v>
      </c>
      <c r="M20" s="4">
        <f t="shared" si="9"/>
        <v>53518.416666666664</v>
      </c>
      <c r="N20" s="4">
        <f t="shared" si="10"/>
        <v>2958.3333333333335</v>
      </c>
      <c r="O20" s="6">
        <f t="shared" si="11"/>
        <v>0</v>
      </c>
    </row>
    <row r="21" spans="1:15" x14ac:dyDescent="0.3">
      <c r="A21" s="8" t="s">
        <v>17</v>
      </c>
      <c r="B21" s="8"/>
      <c r="C21" s="8">
        <v>5</v>
      </c>
      <c r="D21" s="9">
        <f t="shared" si="1"/>
        <v>2105</v>
      </c>
      <c r="E21" s="9">
        <f t="shared" si="2"/>
        <v>6116.666666666667</v>
      </c>
      <c r="F21" s="10">
        <f t="shared" si="3"/>
        <v>0</v>
      </c>
      <c r="G21" s="11">
        <f t="shared" si="4"/>
        <v>0</v>
      </c>
      <c r="H21" s="9">
        <f t="shared" si="5"/>
        <v>7208.083333333333</v>
      </c>
      <c r="I21" s="9">
        <f t="shared" si="0"/>
        <v>450</v>
      </c>
      <c r="J21" s="9">
        <f t="shared" si="6"/>
        <v>1918.4166666666667</v>
      </c>
      <c r="K21" s="16">
        <f t="shared" si="7"/>
        <v>35834.416666666664</v>
      </c>
      <c r="L21" s="4">
        <f t="shared" si="8"/>
        <v>4192.75</v>
      </c>
      <c r="M21" s="4">
        <f t="shared" si="9"/>
        <v>53518.416666666664</v>
      </c>
      <c r="N21" s="4">
        <f t="shared" si="10"/>
        <v>2958.3333333333335</v>
      </c>
      <c r="O21" s="6">
        <f t="shared" si="11"/>
        <v>0</v>
      </c>
    </row>
    <row r="22" spans="1:15" x14ac:dyDescent="0.3">
      <c r="A22" s="8" t="s">
        <v>18</v>
      </c>
      <c r="B22" s="8"/>
      <c r="C22" s="8">
        <v>1</v>
      </c>
      <c r="D22" s="9">
        <f t="shared" si="1"/>
        <v>421</v>
      </c>
      <c r="E22" s="9">
        <f t="shared" si="2"/>
        <v>6116.666666666667</v>
      </c>
      <c r="F22" s="10">
        <f t="shared" si="3"/>
        <v>0</v>
      </c>
      <c r="G22" s="11">
        <f t="shared" si="4"/>
        <v>0</v>
      </c>
      <c r="H22" s="9">
        <f t="shared" si="5"/>
        <v>7208.083333333333</v>
      </c>
      <c r="I22" s="9">
        <f t="shared" si="0"/>
        <v>450</v>
      </c>
      <c r="J22" s="9">
        <f t="shared" si="6"/>
        <v>1918.4166666666667</v>
      </c>
      <c r="K22" s="16">
        <f t="shared" si="7"/>
        <v>35834.416666666664</v>
      </c>
      <c r="L22" s="4">
        <f t="shared" si="8"/>
        <v>4192.75</v>
      </c>
      <c r="M22" s="4">
        <f t="shared" si="9"/>
        <v>53518.416666666664</v>
      </c>
      <c r="N22" s="4">
        <f t="shared" si="10"/>
        <v>2958.3333333333335</v>
      </c>
      <c r="O22" s="6">
        <f t="shared" si="11"/>
        <v>0</v>
      </c>
    </row>
    <row r="23" spans="1:15" x14ac:dyDescent="0.3">
      <c r="A23" s="8" t="s">
        <v>19</v>
      </c>
      <c r="B23" s="8"/>
      <c r="C23" s="8">
        <v>95</v>
      </c>
      <c r="D23" s="9">
        <f t="shared" si="1"/>
        <v>39995</v>
      </c>
      <c r="E23" s="9">
        <f t="shared" si="2"/>
        <v>6116.666666666667</v>
      </c>
      <c r="F23" s="10">
        <f t="shared" si="3"/>
        <v>0</v>
      </c>
      <c r="G23" s="11">
        <f t="shared" si="4"/>
        <v>0</v>
      </c>
      <c r="H23" s="9">
        <f t="shared" si="5"/>
        <v>7208.083333333333</v>
      </c>
      <c r="I23" s="9">
        <f t="shared" si="0"/>
        <v>450</v>
      </c>
      <c r="J23" s="9">
        <f t="shared" si="6"/>
        <v>1918.4166666666667</v>
      </c>
      <c r="K23" s="16">
        <f t="shared" si="7"/>
        <v>35834.416666666664</v>
      </c>
      <c r="L23" s="4">
        <f t="shared" si="8"/>
        <v>4192.75</v>
      </c>
      <c r="M23" s="4">
        <f t="shared" si="9"/>
        <v>53518.416666666664</v>
      </c>
      <c r="N23" s="4">
        <f t="shared" si="10"/>
        <v>2958.3333333333335</v>
      </c>
      <c r="O23" s="6">
        <f t="shared" si="11"/>
        <v>0</v>
      </c>
    </row>
    <row r="24" spans="1:15" x14ac:dyDescent="0.3">
      <c r="A24" s="8" t="s">
        <v>20</v>
      </c>
      <c r="B24" s="8"/>
      <c r="C24" s="8">
        <v>1</v>
      </c>
      <c r="D24" s="9">
        <f t="shared" si="1"/>
        <v>421</v>
      </c>
      <c r="E24" s="9">
        <f t="shared" si="2"/>
        <v>6116.666666666667</v>
      </c>
      <c r="F24" s="10">
        <f t="shared" si="3"/>
        <v>0</v>
      </c>
      <c r="G24" s="11">
        <f t="shared" si="4"/>
        <v>0</v>
      </c>
      <c r="H24" s="9">
        <f t="shared" si="5"/>
        <v>7208.083333333333</v>
      </c>
      <c r="I24" s="9">
        <f t="shared" si="0"/>
        <v>450</v>
      </c>
      <c r="J24" s="9">
        <f t="shared" si="6"/>
        <v>1918.4166666666667</v>
      </c>
      <c r="K24" s="16">
        <f t="shared" si="7"/>
        <v>35834.416666666664</v>
      </c>
      <c r="L24" s="4">
        <f t="shared" si="8"/>
        <v>4192.75</v>
      </c>
      <c r="M24" s="4">
        <f t="shared" si="9"/>
        <v>53518.416666666664</v>
      </c>
      <c r="N24" s="4">
        <f t="shared" si="10"/>
        <v>2958.3333333333335</v>
      </c>
      <c r="O24" s="6">
        <f t="shared" si="11"/>
        <v>0</v>
      </c>
    </row>
    <row r="25" spans="1:15" x14ac:dyDescent="0.3">
      <c r="A25" s="8" t="s">
        <v>21</v>
      </c>
      <c r="B25" s="8"/>
      <c r="C25" s="8">
        <v>76</v>
      </c>
      <c r="D25" s="9">
        <f t="shared" si="1"/>
        <v>31996</v>
      </c>
      <c r="E25" s="9">
        <f t="shared" si="2"/>
        <v>6116.666666666667</v>
      </c>
      <c r="F25" s="10">
        <f t="shared" si="3"/>
        <v>0</v>
      </c>
      <c r="G25" s="11">
        <f t="shared" si="4"/>
        <v>0</v>
      </c>
      <c r="H25" s="9">
        <f t="shared" si="5"/>
        <v>7208.083333333333</v>
      </c>
      <c r="I25" s="9">
        <f t="shared" si="0"/>
        <v>450</v>
      </c>
      <c r="J25" s="9">
        <f t="shared" si="6"/>
        <v>1918.4166666666667</v>
      </c>
      <c r="K25" s="16">
        <f t="shared" si="7"/>
        <v>35834.416666666664</v>
      </c>
      <c r="L25" s="4">
        <f t="shared" si="8"/>
        <v>4192.75</v>
      </c>
      <c r="M25" s="4">
        <f t="shared" si="9"/>
        <v>53518.416666666664</v>
      </c>
      <c r="N25" s="4">
        <f t="shared" si="10"/>
        <v>2958.3333333333335</v>
      </c>
      <c r="O25" s="6">
        <f t="shared" si="11"/>
        <v>0</v>
      </c>
    </row>
    <row r="26" spans="1:15" x14ac:dyDescent="0.3">
      <c r="A26" s="8" t="s">
        <v>22</v>
      </c>
      <c r="B26" s="8"/>
      <c r="C26" s="8"/>
      <c r="D26" s="9">
        <f t="shared" si="1"/>
        <v>0</v>
      </c>
      <c r="E26" s="9">
        <f t="shared" si="2"/>
        <v>6116.666666666667</v>
      </c>
      <c r="F26" s="10">
        <f t="shared" si="3"/>
        <v>0</v>
      </c>
      <c r="G26" s="11">
        <f t="shared" si="4"/>
        <v>0</v>
      </c>
      <c r="H26" s="9">
        <f t="shared" si="5"/>
        <v>7208.083333333333</v>
      </c>
      <c r="I26" s="9">
        <f t="shared" si="0"/>
        <v>450</v>
      </c>
      <c r="J26" s="9">
        <f t="shared" si="6"/>
        <v>1918.4166666666667</v>
      </c>
      <c r="K26" s="16">
        <f t="shared" si="7"/>
        <v>35834.416666666664</v>
      </c>
      <c r="L26" s="4">
        <f t="shared" si="8"/>
        <v>4192.75</v>
      </c>
      <c r="M26" s="4">
        <f t="shared" si="9"/>
        <v>53518.416666666664</v>
      </c>
      <c r="N26" s="4">
        <f t="shared" si="10"/>
        <v>2958.3333333333335</v>
      </c>
      <c r="O26" s="6">
        <f>$C$13/12</f>
        <v>0</v>
      </c>
    </row>
    <row r="27" spans="1:15" x14ac:dyDescent="0.3">
      <c r="D27" s="2"/>
      <c r="E27" s="2"/>
      <c r="F27" s="2"/>
      <c r="G27" s="2"/>
      <c r="H27" s="2"/>
      <c r="I27" s="2"/>
      <c r="J27" s="2"/>
      <c r="K27" s="2"/>
      <c r="L27" s="2"/>
      <c r="M27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71AB9-FA8A-408E-B05C-E04920D29C9F}">
  <dimension ref="A1:O37"/>
  <sheetViews>
    <sheetView zoomScale="76" zoomScaleNormal="76" workbookViewId="0">
      <selection activeCell="O26" sqref="D15:O26"/>
    </sheetView>
  </sheetViews>
  <sheetFormatPr defaultRowHeight="14.4" x14ac:dyDescent="0.3"/>
  <cols>
    <col min="1" max="1" width="29" bestFit="1" customWidth="1"/>
    <col min="2" max="2" width="16.109375" bestFit="1" customWidth="1"/>
    <col min="3" max="3" width="16.77734375" bestFit="1" customWidth="1"/>
    <col min="4" max="4" width="15.6640625" bestFit="1" customWidth="1"/>
    <col min="5" max="5" width="14.6640625" bestFit="1" customWidth="1"/>
    <col min="6" max="6" width="21.5546875" bestFit="1" customWidth="1"/>
    <col min="7" max="7" width="20" bestFit="1" customWidth="1"/>
    <col min="8" max="8" width="13.5546875" bestFit="1" customWidth="1"/>
    <col min="9" max="9" width="11.88671875" customWidth="1"/>
    <col min="10" max="10" width="13.44140625" bestFit="1" customWidth="1"/>
    <col min="11" max="11" width="11.77734375" customWidth="1"/>
    <col min="12" max="12" width="16.77734375" bestFit="1" customWidth="1"/>
    <col min="13" max="13" width="17.6640625" bestFit="1" customWidth="1"/>
    <col min="14" max="14" width="22.33203125" bestFit="1" customWidth="1"/>
    <col min="15" max="15" width="18.88671875" bestFit="1" customWidth="1"/>
  </cols>
  <sheetData>
    <row r="1" spans="1:15" x14ac:dyDescent="0.3">
      <c r="A1" s="3" t="s">
        <v>1</v>
      </c>
      <c r="B1" s="3" t="s">
        <v>2</v>
      </c>
      <c r="C1" s="3" t="s">
        <v>35</v>
      </c>
      <c r="D1" s="7" t="s">
        <v>36</v>
      </c>
      <c r="E1" s="4">
        <v>50725</v>
      </c>
      <c r="G1" s="7" t="s">
        <v>0</v>
      </c>
      <c r="H1" s="6">
        <v>64904</v>
      </c>
      <c r="J1" s="2">
        <f>SUM(C2:C12)+E1+H1+C13</f>
        <v>852503</v>
      </c>
    </row>
    <row r="2" spans="1:15" x14ac:dyDescent="0.3">
      <c r="A2" t="s">
        <v>3</v>
      </c>
      <c r="C2" s="1">
        <v>70500</v>
      </c>
      <c r="D2" s="6" t="s">
        <v>28</v>
      </c>
      <c r="E2" s="6">
        <f>B16+B17+B21+B22+B24+B25</f>
        <v>0</v>
      </c>
      <c r="G2" s="6" t="s">
        <v>28</v>
      </c>
      <c r="H2" s="6"/>
    </row>
    <row r="3" spans="1:15" x14ac:dyDescent="0.3">
      <c r="A3" t="s">
        <v>9</v>
      </c>
      <c r="C3" s="2"/>
      <c r="D3" s="6" t="s">
        <v>29</v>
      </c>
      <c r="E3" s="4" t="e">
        <f>E1/E2</f>
        <v>#DIV/0!</v>
      </c>
      <c r="G3" s="6" t="s">
        <v>31</v>
      </c>
      <c r="H3" s="4" t="e">
        <f>H1/H2</f>
        <v>#DIV/0!</v>
      </c>
    </row>
    <row r="4" spans="1:15" x14ac:dyDescent="0.3">
      <c r="A4" t="s">
        <v>6</v>
      </c>
      <c r="B4" s="1"/>
      <c r="C4" s="2">
        <v>48511</v>
      </c>
    </row>
    <row r="5" spans="1:15" x14ac:dyDescent="0.3">
      <c r="A5" t="s">
        <v>5</v>
      </c>
      <c r="B5" s="1"/>
      <c r="C5" s="2"/>
      <c r="E5" s="2"/>
    </row>
    <row r="6" spans="1:15" x14ac:dyDescent="0.3">
      <c r="A6" t="s">
        <v>42</v>
      </c>
      <c r="C6" s="2">
        <v>26041</v>
      </c>
      <c r="D6" s="2"/>
      <c r="E6" s="2"/>
    </row>
    <row r="7" spans="1:15" x14ac:dyDescent="0.3">
      <c r="A7" t="s">
        <v>7</v>
      </c>
      <c r="C7" s="2">
        <v>20934</v>
      </c>
      <c r="E7" t="s">
        <v>53</v>
      </c>
      <c r="F7" s="2">
        <f>E1+H1</f>
        <v>115629</v>
      </c>
    </row>
    <row r="8" spans="1:15" x14ac:dyDescent="0.3">
      <c r="A8" t="s">
        <v>47</v>
      </c>
      <c r="C8" s="1">
        <v>1337</v>
      </c>
      <c r="E8" t="s">
        <v>54</v>
      </c>
      <c r="F8">
        <f>SUM(C14:C25)</f>
        <v>320</v>
      </c>
    </row>
    <row r="9" spans="1:15" x14ac:dyDescent="0.3">
      <c r="A9" t="s">
        <v>10</v>
      </c>
      <c r="C9" s="2">
        <f>504164+23695</f>
        <v>527859</v>
      </c>
      <c r="D9" s="2"/>
      <c r="E9" t="s">
        <v>55</v>
      </c>
      <c r="F9" s="2">
        <f>F7/F8</f>
        <v>361.34062499999999</v>
      </c>
    </row>
    <row r="10" spans="1:15" x14ac:dyDescent="0.3">
      <c r="A10" t="s">
        <v>45</v>
      </c>
      <c r="C10" s="2"/>
    </row>
    <row r="11" spans="1:15" x14ac:dyDescent="0.3">
      <c r="A11" t="s">
        <v>46</v>
      </c>
      <c r="C11" s="2">
        <v>23692</v>
      </c>
    </row>
    <row r="12" spans="1:15" x14ac:dyDescent="0.3">
      <c r="A12" t="s">
        <v>49</v>
      </c>
    </row>
    <row r="13" spans="1:15" x14ac:dyDescent="0.3">
      <c r="A13" t="s">
        <v>48</v>
      </c>
      <c r="C13">
        <v>18000</v>
      </c>
    </row>
    <row r="14" spans="1:15" x14ac:dyDescent="0.3">
      <c r="A14" s="13" t="s">
        <v>33</v>
      </c>
      <c r="B14" s="13" t="s">
        <v>23</v>
      </c>
      <c r="C14" s="13" t="s">
        <v>25</v>
      </c>
      <c r="D14" s="13" t="s">
        <v>30</v>
      </c>
      <c r="E14" s="13" t="s">
        <v>34</v>
      </c>
      <c r="F14" s="14" t="s">
        <v>37</v>
      </c>
      <c r="G14" s="14" t="s">
        <v>6</v>
      </c>
      <c r="H14" s="13" t="s">
        <v>38</v>
      </c>
      <c r="I14" s="13" t="s">
        <v>39</v>
      </c>
      <c r="J14" s="13" t="s">
        <v>40</v>
      </c>
      <c r="K14" s="15" t="s">
        <v>41</v>
      </c>
      <c r="L14" s="17" t="s">
        <v>45</v>
      </c>
      <c r="M14" s="13" t="s">
        <v>46</v>
      </c>
      <c r="N14" s="13" t="s">
        <v>50</v>
      </c>
      <c r="O14" s="13" t="s">
        <v>51</v>
      </c>
    </row>
    <row r="15" spans="1:15" x14ac:dyDescent="0.3">
      <c r="A15" s="8" t="s">
        <v>11</v>
      </c>
      <c r="B15" s="8"/>
      <c r="C15" s="8">
        <v>23</v>
      </c>
      <c r="D15" s="9">
        <f>C15*361</f>
        <v>8303</v>
      </c>
      <c r="E15" s="9">
        <f>$C$2/12</f>
        <v>5875</v>
      </c>
      <c r="F15" s="10">
        <f>$C$3/13</f>
        <v>0</v>
      </c>
      <c r="G15" s="11">
        <f>$C$4/12</f>
        <v>4042.5833333333335</v>
      </c>
      <c r="H15" s="9">
        <f>$C$5/12</f>
        <v>0</v>
      </c>
      <c r="I15" s="9">
        <f t="shared" ref="I15:I26" si="0">$C$6/12</f>
        <v>2170.0833333333335</v>
      </c>
      <c r="J15" s="9">
        <f>($C$7+$C$8)/12</f>
        <v>1855.9166666666667</v>
      </c>
      <c r="K15" s="16">
        <f>$C$9/12</f>
        <v>43988.25</v>
      </c>
      <c r="L15" s="4">
        <f>$C$10/12</f>
        <v>0</v>
      </c>
      <c r="M15" s="4">
        <f>$C$11/12</f>
        <v>1974.3333333333333</v>
      </c>
      <c r="N15" s="4">
        <f>$C$12/12</f>
        <v>0</v>
      </c>
      <c r="O15" s="6">
        <f>$C$13/12</f>
        <v>1500</v>
      </c>
    </row>
    <row r="16" spans="1:15" x14ac:dyDescent="0.3">
      <c r="A16" s="8" t="s">
        <v>12</v>
      </c>
      <c r="B16" s="8"/>
      <c r="C16" s="8"/>
      <c r="D16" s="9">
        <f t="shared" ref="D16:D26" si="1">C16*361</f>
        <v>0</v>
      </c>
      <c r="E16" s="9">
        <f t="shared" ref="E16:E26" si="2">$C$2/12</f>
        <v>5875</v>
      </c>
      <c r="F16" s="10">
        <f t="shared" ref="F16:F26" si="3">$C$3/13</f>
        <v>0</v>
      </c>
      <c r="G16" s="11">
        <f t="shared" ref="G16:G26" si="4">$C$4/12</f>
        <v>4042.5833333333335</v>
      </c>
      <c r="H16" s="9">
        <f t="shared" ref="H16:H26" si="5">$C$5/12</f>
        <v>0</v>
      </c>
      <c r="I16" s="9">
        <f t="shared" si="0"/>
        <v>2170.0833333333335</v>
      </c>
      <c r="J16" s="9">
        <f t="shared" ref="J16:J26" si="6">($C$7+$C$8)/12</f>
        <v>1855.9166666666667</v>
      </c>
      <c r="K16" s="16">
        <f t="shared" ref="K16:K26" si="7">$C$9/12</f>
        <v>43988.25</v>
      </c>
      <c r="L16" s="4">
        <f t="shared" ref="L16:L26" si="8">$C$10/12</f>
        <v>0</v>
      </c>
      <c r="M16" s="4">
        <f t="shared" ref="M16:M26" si="9">$C$11/12</f>
        <v>1974.3333333333333</v>
      </c>
      <c r="N16" s="4">
        <f t="shared" ref="N16:N26" si="10">$C$12/12</f>
        <v>0</v>
      </c>
      <c r="O16" s="6">
        <f t="shared" ref="O16:O25" si="11">$C$13/12</f>
        <v>1500</v>
      </c>
    </row>
    <row r="17" spans="1:15" x14ac:dyDescent="0.3">
      <c r="A17" s="8" t="s">
        <v>13</v>
      </c>
      <c r="B17" s="8"/>
      <c r="C17" s="8">
        <v>83</v>
      </c>
      <c r="D17" s="9">
        <f t="shared" si="1"/>
        <v>29963</v>
      </c>
      <c r="E17" s="9">
        <f t="shared" si="2"/>
        <v>5875</v>
      </c>
      <c r="F17" s="10">
        <f t="shared" si="3"/>
        <v>0</v>
      </c>
      <c r="G17" s="11">
        <f t="shared" si="4"/>
        <v>4042.5833333333335</v>
      </c>
      <c r="H17" s="9">
        <f t="shared" si="5"/>
        <v>0</v>
      </c>
      <c r="I17" s="9">
        <f t="shared" si="0"/>
        <v>2170.0833333333335</v>
      </c>
      <c r="J17" s="9">
        <f t="shared" si="6"/>
        <v>1855.9166666666667</v>
      </c>
      <c r="K17" s="16">
        <f t="shared" si="7"/>
        <v>43988.25</v>
      </c>
      <c r="L17" s="4">
        <f t="shared" si="8"/>
        <v>0</v>
      </c>
      <c r="M17" s="4">
        <f t="shared" si="9"/>
        <v>1974.3333333333333</v>
      </c>
      <c r="N17" s="4">
        <f t="shared" si="10"/>
        <v>0</v>
      </c>
      <c r="O17" s="6">
        <f t="shared" si="11"/>
        <v>1500</v>
      </c>
    </row>
    <row r="18" spans="1:15" x14ac:dyDescent="0.3">
      <c r="A18" s="8" t="s">
        <v>14</v>
      </c>
      <c r="B18" s="8"/>
      <c r="C18" s="12">
        <v>4</v>
      </c>
      <c r="D18" s="9">
        <f t="shared" si="1"/>
        <v>1444</v>
      </c>
      <c r="E18" s="9">
        <f t="shared" si="2"/>
        <v>5875</v>
      </c>
      <c r="F18" s="10">
        <f t="shared" si="3"/>
        <v>0</v>
      </c>
      <c r="G18" s="11">
        <f t="shared" si="4"/>
        <v>4042.5833333333335</v>
      </c>
      <c r="H18" s="9">
        <f t="shared" si="5"/>
        <v>0</v>
      </c>
      <c r="I18" s="9">
        <f t="shared" si="0"/>
        <v>2170.0833333333335</v>
      </c>
      <c r="J18" s="9">
        <f t="shared" si="6"/>
        <v>1855.9166666666667</v>
      </c>
      <c r="K18" s="16">
        <f t="shared" si="7"/>
        <v>43988.25</v>
      </c>
      <c r="L18" s="4">
        <f t="shared" si="8"/>
        <v>0</v>
      </c>
      <c r="M18" s="4">
        <f t="shared" si="9"/>
        <v>1974.3333333333333</v>
      </c>
      <c r="N18" s="4">
        <f t="shared" si="10"/>
        <v>0</v>
      </c>
      <c r="O18" s="6">
        <f t="shared" si="11"/>
        <v>1500</v>
      </c>
    </row>
    <row r="19" spans="1:15" x14ac:dyDescent="0.3">
      <c r="A19" s="8" t="s">
        <v>15</v>
      </c>
      <c r="B19" s="8"/>
      <c r="C19" s="8">
        <v>4</v>
      </c>
      <c r="D19" s="9">
        <f t="shared" si="1"/>
        <v>1444</v>
      </c>
      <c r="E19" s="9">
        <f t="shared" si="2"/>
        <v>5875</v>
      </c>
      <c r="F19" s="10">
        <f t="shared" si="3"/>
        <v>0</v>
      </c>
      <c r="G19" s="11">
        <f t="shared" si="4"/>
        <v>4042.5833333333335</v>
      </c>
      <c r="H19" s="9">
        <f t="shared" si="5"/>
        <v>0</v>
      </c>
      <c r="I19" s="9">
        <f t="shared" si="0"/>
        <v>2170.0833333333335</v>
      </c>
      <c r="J19" s="9">
        <f t="shared" si="6"/>
        <v>1855.9166666666667</v>
      </c>
      <c r="K19" s="16">
        <f t="shared" si="7"/>
        <v>43988.25</v>
      </c>
      <c r="L19" s="4">
        <f t="shared" si="8"/>
        <v>0</v>
      </c>
      <c r="M19" s="4">
        <f t="shared" si="9"/>
        <v>1974.3333333333333</v>
      </c>
      <c r="N19" s="4">
        <f t="shared" si="10"/>
        <v>0</v>
      </c>
      <c r="O19" s="6">
        <f t="shared" si="11"/>
        <v>1500</v>
      </c>
    </row>
    <row r="20" spans="1:15" x14ac:dyDescent="0.3">
      <c r="A20" s="8" t="s">
        <v>16</v>
      </c>
      <c r="B20" s="8"/>
      <c r="C20" s="8"/>
      <c r="D20" s="9">
        <f t="shared" si="1"/>
        <v>0</v>
      </c>
      <c r="E20" s="9">
        <f t="shared" si="2"/>
        <v>5875</v>
      </c>
      <c r="F20" s="10">
        <f t="shared" si="3"/>
        <v>0</v>
      </c>
      <c r="G20" s="11">
        <f t="shared" si="4"/>
        <v>4042.5833333333335</v>
      </c>
      <c r="H20" s="9">
        <f t="shared" si="5"/>
        <v>0</v>
      </c>
      <c r="I20" s="9">
        <f t="shared" si="0"/>
        <v>2170.0833333333335</v>
      </c>
      <c r="J20" s="9">
        <f t="shared" si="6"/>
        <v>1855.9166666666667</v>
      </c>
      <c r="K20" s="16">
        <f t="shared" si="7"/>
        <v>43988.25</v>
      </c>
      <c r="L20" s="4">
        <f t="shared" si="8"/>
        <v>0</v>
      </c>
      <c r="M20" s="4">
        <f t="shared" si="9"/>
        <v>1974.3333333333333</v>
      </c>
      <c r="N20" s="4">
        <f t="shared" si="10"/>
        <v>0</v>
      </c>
      <c r="O20" s="6">
        <f t="shared" si="11"/>
        <v>1500</v>
      </c>
    </row>
    <row r="21" spans="1:15" x14ac:dyDescent="0.3">
      <c r="A21" s="8" t="s">
        <v>17</v>
      </c>
      <c r="B21" s="8"/>
      <c r="C21" s="8">
        <v>10</v>
      </c>
      <c r="D21" s="9">
        <f t="shared" si="1"/>
        <v>3610</v>
      </c>
      <c r="E21" s="9">
        <f t="shared" si="2"/>
        <v>5875</v>
      </c>
      <c r="F21" s="10">
        <f t="shared" si="3"/>
        <v>0</v>
      </c>
      <c r="G21" s="11">
        <f t="shared" si="4"/>
        <v>4042.5833333333335</v>
      </c>
      <c r="H21" s="9">
        <f t="shared" si="5"/>
        <v>0</v>
      </c>
      <c r="I21" s="9">
        <f t="shared" si="0"/>
        <v>2170.0833333333335</v>
      </c>
      <c r="J21" s="9">
        <f t="shared" si="6"/>
        <v>1855.9166666666667</v>
      </c>
      <c r="K21" s="16">
        <f t="shared" si="7"/>
        <v>43988.25</v>
      </c>
      <c r="L21" s="4">
        <f t="shared" si="8"/>
        <v>0</v>
      </c>
      <c r="M21" s="4">
        <f t="shared" si="9"/>
        <v>1974.3333333333333</v>
      </c>
      <c r="N21" s="4">
        <f t="shared" si="10"/>
        <v>0</v>
      </c>
      <c r="O21" s="6">
        <f t="shared" si="11"/>
        <v>1500</v>
      </c>
    </row>
    <row r="22" spans="1:15" x14ac:dyDescent="0.3">
      <c r="A22" s="8" t="s">
        <v>18</v>
      </c>
      <c r="B22" s="8"/>
      <c r="C22" s="8">
        <v>3</v>
      </c>
      <c r="D22" s="9">
        <f t="shared" si="1"/>
        <v>1083</v>
      </c>
      <c r="E22" s="9">
        <f t="shared" si="2"/>
        <v>5875</v>
      </c>
      <c r="F22" s="10">
        <f t="shared" si="3"/>
        <v>0</v>
      </c>
      <c r="G22" s="11">
        <f t="shared" si="4"/>
        <v>4042.5833333333335</v>
      </c>
      <c r="H22" s="9">
        <f t="shared" si="5"/>
        <v>0</v>
      </c>
      <c r="I22" s="9">
        <f t="shared" si="0"/>
        <v>2170.0833333333335</v>
      </c>
      <c r="J22" s="9">
        <f t="shared" si="6"/>
        <v>1855.9166666666667</v>
      </c>
      <c r="K22" s="16">
        <f t="shared" si="7"/>
        <v>43988.25</v>
      </c>
      <c r="L22" s="4">
        <f t="shared" si="8"/>
        <v>0</v>
      </c>
      <c r="M22" s="4">
        <f t="shared" si="9"/>
        <v>1974.3333333333333</v>
      </c>
      <c r="N22" s="4">
        <f t="shared" si="10"/>
        <v>0</v>
      </c>
      <c r="O22" s="6">
        <f t="shared" si="11"/>
        <v>1500</v>
      </c>
    </row>
    <row r="23" spans="1:15" x14ac:dyDescent="0.3">
      <c r="A23" s="8" t="s">
        <v>19</v>
      </c>
      <c r="B23" s="8"/>
      <c r="C23" s="8">
        <v>119</v>
      </c>
      <c r="D23" s="9">
        <f t="shared" si="1"/>
        <v>42959</v>
      </c>
      <c r="E23" s="9">
        <f t="shared" si="2"/>
        <v>5875</v>
      </c>
      <c r="F23" s="10">
        <f t="shared" si="3"/>
        <v>0</v>
      </c>
      <c r="G23" s="11">
        <f t="shared" si="4"/>
        <v>4042.5833333333335</v>
      </c>
      <c r="H23" s="9">
        <f t="shared" si="5"/>
        <v>0</v>
      </c>
      <c r="I23" s="9">
        <f t="shared" si="0"/>
        <v>2170.0833333333335</v>
      </c>
      <c r="J23" s="9">
        <f t="shared" si="6"/>
        <v>1855.9166666666667</v>
      </c>
      <c r="K23" s="16">
        <f t="shared" si="7"/>
        <v>43988.25</v>
      </c>
      <c r="L23" s="4">
        <f t="shared" si="8"/>
        <v>0</v>
      </c>
      <c r="M23" s="4">
        <f t="shared" si="9"/>
        <v>1974.3333333333333</v>
      </c>
      <c r="N23" s="4">
        <f t="shared" si="10"/>
        <v>0</v>
      </c>
      <c r="O23" s="6">
        <f t="shared" si="11"/>
        <v>1500</v>
      </c>
    </row>
    <row r="24" spans="1:15" x14ac:dyDescent="0.3">
      <c r="A24" s="8" t="s">
        <v>20</v>
      </c>
      <c r="B24" s="8"/>
      <c r="C24" s="8">
        <v>1</v>
      </c>
      <c r="D24" s="9">
        <f t="shared" si="1"/>
        <v>361</v>
      </c>
      <c r="E24" s="9">
        <f t="shared" si="2"/>
        <v>5875</v>
      </c>
      <c r="F24" s="10">
        <f t="shared" si="3"/>
        <v>0</v>
      </c>
      <c r="G24" s="11">
        <f t="shared" si="4"/>
        <v>4042.5833333333335</v>
      </c>
      <c r="H24" s="9">
        <f t="shared" si="5"/>
        <v>0</v>
      </c>
      <c r="I24" s="9">
        <f t="shared" si="0"/>
        <v>2170.0833333333335</v>
      </c>
      <c r="J24" s="9">
        <f t="shared" si="6"/>
        <v>1855.9166666666667</v>
      </c>
      <c r="K24" s="16">
        <f t="shared" si="7"/>
        <v>43988.25</v>
      </c>
      <c r="L24" s="4">
        <f t="shared" si="8"/>
        <v>0</v>
      </c>
      <c r="M24" s="4">
        <f t="shared" si="9"/>
        <v>1974.3333333333333</v>
      </c>
      <c r="N24" s="4">
        <f t="shared" si="10"/>
        <v>0</v>
      </c>
      <c r="O24" s="6">
        <f t="shared" si="11"/>
        <v>1500</v>
      </c>
    </row>
    <row r="25" spans="1:15" x14ac:dyDescent="0.3">
      <c r="A25" s="8" t="s">
        <v>21</v>
      </c>
      <c r="B25" s="8"/>
      <c r="C25" s="8">
        <v>73</v>
      </c>
      <c r="D25" s="9">
        <f t="shared" si="1"/>
        <v>26353</v>
      </c>
      <c r="E25" s="9">
        <f t="shared" si="2"/>
        <v>5875</v>
      </c>
      <c r="F25" s="10">
        <f t="shared" si="3"/>
        <v>0</v>
      </c>
      <c r="G25" s="11">
        <f t="shared" si="4"/>
        <v>4042.5833333333335</v>
      </c>
      <c r="H25" s="9">
        <f t="shared" si="5"/>
        <v>0</v>
      </c>
      <c r="I25" s="9">
        <f t="shared" si="0"/>
        <v>2170.0833333333335</v>
      </c>
      <c r="J25" s="9">
        <f t="shared" si="6"/>
        <v>1855.9166666666667</v>
      </c>
      <c r="K25" s="16">
        <f t="shared" si="7"/>
        <v>43988.25</v>
      </c>
      <c r="L25" s="4">
        <f t="shared" si="8"/>
        <v>0</v>
      </c>
      <c r="M25" s="4">
        <f t="shared" si="9"/>
        <v>1974.3333333333333</v>
      </c>
      <c r="N25" s="4">
        <f t="shared" si="10"/>
        <v>0</v>
      </c>
      <c r="O25" s="6">
        <f t="shared" si="11"/>
        <v>1500</v>
      </c>
    </row>
    <row r="26" spans="1:15" x14ac:dyDescent="0.3">
      <c r="A26" s="8" t="s">
        <v>22</v>
      </c>
      <c r="B26" s="8"/>
      <c r="C26" s="8"/>
      <c r="D26" s="9">
        <f t="shared" si="1"/>
        <v>0</v>
      </c>
      <c r="E26" s="9">
        <f t="shared" si="2"/>
        <v>5875</v>
      </c>
      <c r="F26" s="10">
        <f t="shared" si="3"/>
        <v>0</v>
      </c>
      <c r="G26" s="11">
        <f t="shared" si="4"/>
        <v>4042.5833333333335</v>
      </c>
      <c r="H26" s="9">
        <f t="shared" si="5"/>
        <v>0</v>
      </c>
      <c r="I26" s="9">
        <f t="shared" si="0"/>
        <v>2170.0833333333335</v>
      </c>
      <c r="J26" s="9">
        <f t="shared" si="6"/>
        <v>1855.9166666666667</v>
      </c>
      <c r="K26" s="16">
        <f t="shared" si="7"/>
        <v>43988.25</v>
      </c>
      <c r="L26" s="4">
        <f t="shared" si="8"/>
        <v>0</v>
      </c>
      <c r="M26" s="4">
        <f t="shared" si="9"/>
        <v>1974.3333333333333</v>
      </c>
      <c r="N26" s="4">
        <f t="shared" si="10"/>
        <v>0</v>
      </c>
      <c r="O26" s="6">
        <f>$C$13/12</f>
        <v>1500</v>
      </c>
    </row>
    <row r="27" spans="1:15" x14ac:dyDescent="0.3">
      <c r="D27" s="2"/>
      <c r="E27" s="2"/>
      <c r="F27" s="2"/>
      <c r="G27" s="2"/>
      <c r="H27" s="2"/>
      <c r="I27" s="2"/>
      <c r="J27" s="2"/>
      <c r="K27" s="2"/>
      <c r="L27" s="2"/>
      <c r="M27" s="2"/>
    </row>
    <row r="29" spans="1:15" x14ac:dyDescent="0.3">
      <c r="A29" s="18"/>
      <c r="B29" s="19"/>
    </row>
    <row r="30" spans="1:15" x14ac:dyDescent="0.3">
      <c r="A30" s="18"/>
      <c r="B30" s="19"/>
    </row>
    <row r="31" spans="1:15" x14ac:dyDescent="0.3">
      <c r="A31" s="18"/>
      <c r="B31" s="19"/>
    </row>
    <row r="32" spans="1:15" x14ac:dyDescent="0.3">
      <c r="A32" s="18"/>
      <c r="B32" s="19"/>
    </row>
    <row r="33" spans="1:2" x14ac:dyDescent="0.3">
      <c r="A33" s="18"/>
      <c r="B33" s="19"/>
    </row>
    <row r="34" spans="1:2" x14ac:dyDescent="0.3">
      <c r="A34" s="18"/>
      <c r="B34" s="19"/>
    </row>
    <row r="35" spans="1:2" x14ac:dyDescent="0.3">
      <c r="A35" s="18"/>
      <c r="B35" s="19"/>
    </row>
    <row r="36" spans="1:2" x14ac:dyDescent="0.3">
      <c r="A36" s="18"/>
      <c r="B36" s="19"/>
    </row>
    <row r="37" spans="1:2" x14ac:dyDescent="0.3">
      <c r="A37" s="18"/>
      <c r="B37" s="1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40F38-E6DB-412B-B754-D7CB2336DE76}">
  <dimension ref="A1:O36"/>
  <sheetViews>
    <sheetView zoomScale="73" zoomScaleNormal="73" workbookViewId="0">
      <selection activeCell="D15" sqref="D15:O26"/>
    </sheetView>
  </sheetViews>
  <sheetFormatPr defaultRowHeight="14.4" x14ac:dyDescent="0.3"/>
  <cols>
    <col min="1" max="1" width="29" bestFit="1" customWidth="1"/>
    <col min="2" max="2" width="16.109375" bestFit="1" customWidth="1"/>
    <col min="3" max="3" width="16.77734375" bestFit="1" customWidth="1"/>
    <col min="4" max="4" width="15.6640625" bestFit="1" customWidth="1"/>
    <col min="5" max="5" width="14.6640625" bestFit="1" customWidth="1"/>
    <col min="6" max="6" width="21.5546875" bestFit="1" customWidth="1"/>
    <col min="7" max="7" width="20" bestFit="1" customWidth="1"/>
    <col min="8" max="8" width="13.5546875" bestFit="1" customWidth="1"/>
    <col min="9" max="9" width="11.88671875" customWidth="1"/>
    <col min="10" max="10" width="13.44140625" bestFit="1" customWidth="1"/>
    <col min="11" max="11" width="11.77734375" customWidth="1"/>
    <col min="12" max="12" width="16.77734375" bestFit="1" customWidth="1"/>
    <col min="13" max="13" width="17.6640625" bestFit="1" customWidth="1"/>
    <col min="14" max="14" width="22.33203125" bestFit="1" customWidth="1"/>
    <col min="15" max="15" width="18.88671875" bestFit="1" customWidth="1"/>
  </cols>
  <sheetData>
    <row r="1" spans="1:15" x14ac:dyDescent="0.3">
      <c r="A1" s="3" t="s">
        <v>1</v>
      </c>
      <c r="B1" s="3" t="s">
        <v>2</v>
      </c>
      <c r="C1" s="3" t="s">
        <v>35</v>
      </c>
      <c r="D1" s="7" t="s">
        <v>36</v>
      </c>
      <c r="E1" s="4">
        <v>82911</v>
      </c>
      <c r="G1" s="7" t="s">
        <v>0</v>
      </c>
      <c r="H1" s="6">
        <v>108593</v>
      </c>
      <c r="J1" s="2">
        <f>SUM(C2:C12)+E1+H1+C13</f>
        <v>1116981</v>
      </c>
    </row>
    <row r="2" spans="1:15" x14ac:dyDescent="0.3">
      <c r="A2" t="s">
        <v>3</v>
      </c>
      <c r="C2" s="1">
        <v>70500</v>
      </c>
      <c r="D2" s="6" t="s">
        <v>28</v>
      </c>
      <c r="E2" s="6">
        <f>B16+B17+B21+B22+B24+B25</f>
        <v>0</v>
      </c>
      <c r="G2" s="6" t="s">
        <v>28</v>
      </c>
      <c r="H2" s="6"/>
    </row>
    <row r="3" spans="1:15" x14ac:dyDescent="0.3">
      <c r="A3" t="s">
        <v>9</v>
      </c>
      <c r="C3" s="2"/>
      <c r="D3" s="6" t="s">
        <v>29</v>
      </c>
      <c r="E3" s="4" t="e">
        <f>E1/E2</f>
        <v>#DIV/0!</v>
      </c>
      <c r="G3" s="6" t="s">
        <v>31</v>
      </c>
      <c r="H3" s="4" t="e">
        <f>H1/H2</f>
        <v>#DIV/0!</v>
      </c>
    </row>
    <row r="4" spans="1:15" x14ac:dyDescent="0.3">
      <c r="A4" t="s">
        <v>6</v>
      </c>
      <c r="B4" s="1"/>
      <c r="C4" s="2">
        <v>22447</v>
      </c>
    </row>
    <row r="5" spans="1:15" x14ac:dyDescent="0.3">
      <c r="A5" t="s">
        <v>5</v>
      </c>
      <c r="B5" s="1"/>
      <c r="C5" s="2">
        <v>103296</v>
      </c>
      <c r="E5" s="2"/>
    </row>
    <row r="6" spans="1:15" x14ac:dyDescent="0.3">
      <c r="A6" t="s">
        <v>42</v>
      </c>
      <c r="C6" s="2">
        <v>5400</v>
      </c>
      <c r="D6" s="2"/>
      <c r="E6" s="2"/>
    </row>
    <row r="7" spans="1:15" x14ac:dyDescent="0.3">
      <c r="A7" t="s">
        <v>7</v>
      </c>
      <c r="C7" s="2">
        <v>20934</v>
      </c>
      <c r="E7" t="s">
        <v>53</v>
      </c>
      <c r="F7" s="2">
        <f>E1+H1</f>
        <v>191504</v>
      </c>
    </row>
    <row r="8" spans="1:15" x14ac:dyDescent="0.3">
      <c r="A8" t="s">
        <v>47</v>
      </c>
      <c r="C8" s="1">
        <v>1337</v>
      </c>
      <c r="E8" t="s">
        <v>54</v>
      </c>
      <c r="F8">
        <f>SUM(C14:C25)</f>
        <v>411</v>
      </c>
    </row>
    <row r="9" spans="1:15" x14ac:dyDescent="0.3">
      <c r="A9" t="s">
        <v>10</v>
      </c>
      <c r="C9" s="2">
        <f>491802+19761</f>
        <v>511563</v>
      </c>
      <c r="D9" s="2"/>
      <c r="E9" t="s">
        <v>55</v>
      </c>
      <c r="F9" s="2">
        <f>F7/F8</f>
        <v>465.94647201946469</v>
      </c>
    </row>
    <row r="10" spans="1:15" x14ac:dyDescent="0.3">
      <c r="A10" t="s">
        <v>45</v>
      </c>
      <c r="C10" s="2"/>
    </row>
    <row r="11" spans="1:15" x14ac:dyDescent="0.3">
      <c r="A11" t="s">
        <v>46</v>
      </c>
      <c r="C11" s="2">
        <v>190000</v>
      </c>
    </row>
    <row r="12" spans="1:15" x14ac:dyDescent="0.3">
      <c r="A12" t="s">
        <v>49</v>
      </c>
    </row>
    <row r="13" spans="1:15" x14ac:dyDescent="0.3">
      <c r="A13" t="s">
        <v>48</v>
      </c>
    </row>
    <row r="14" spans="1:15" x14ac:dyDescent="0.3">
      <c r="A14" s="13" t="s">
        <v>33</v>
      </c>
      <c r="B14" s="13" t="s">
        <v>23</v>
      </c>
      <c r="C14" s="13" t="s">
        <v>25</v>
      </c>
      <c r="D14" s="13" t="s">
        <v>30</v>
      </c>
      <c r="E14" s="13" t="s">
        <v>34</v>
      </c>
      <c r="F14" s="14" t="s">
        <v>37</v>
      </c>
      <c r="G14" s="14" t="s">
        <v>6</v>
      </c>
      <c r="H14" s="13" t="s">
        <v>38</v>
      </c>
      <c r="I14" s="13" t="s">
        <v>39</v>
      </c>
      <c r="J14" s="13" t="s">
        <v>40</v>
      </c>
      <c r="K14" s="15" t="s">
        <v>41</v>
      </c>
      <c r="L14" s="17" t="s">
        <v>45</v>
      </c>
      <c r="M14" s="13" t="s">
        <v>46</v>
      </c>
      <c r="N14" s="13" t="s">
        <v>50</v>
      </c>
      <c r="O14" s="13" t="s">
        <v>51</v>
      </c>
    </row>
    <row r="15" spans="1:15" x14ac:dyDescent="0.3">
      <c r="A15" s="8" t="s">
        <v>11</v>
      </c>
      <c r="B15" s="8"/>
      <c r="C15" s="8">
        <v>40</v>
      </c>
      <c r="D15" s="9">
        <f>466*C15</f>
        <v>18640</v>
      </c>
      <c r="E15" s="9">
        <f>$C$2/12</f>
        <v>5875</v>
      </c>
      <c r="F15" s="10">
        <f>$C$3/13</f>
        <v>0</v>
      </c>
      <c r="G15" s="11">
        <f>$C$4/12</f>
        <v>1870.5833333333333</v>
      </c>
      <c r="H15" s="9">
        <f>$C$5/12</f>
        <v>8608</v>
      </c>
      <c r="I15" s="9">
        <f t="shared" ref="I15:I26" si="0">$C$6/12</f>
        <v>450</v>
      </c>
      <c r="J15" s="9">
        <f>($C$7+$C$8)/12</f>
        <v>1855.9166666666667</v>
      </c>
      <c r="K15" s="16">
        <f>$C$9/12</f>
        <v>42630.25</v>
      </c>
      <c r="L15" s="4">
        <f>$C$10/12</f>
        <v>0</v>
      </c>
      <c r="M15" s="4">
        <f>$C$11/12</f>
        <v>15833.333333333334</v>
      </c>
      <c r="N15" s="4">
        <f>$C$12/12</f>
        <v>0</v>
      </c>
      <c r="O15" s="6">
        <f>$C$13/12</f>
        <v>0</v>
      </c>
    </row>
    <row r="16" spans="1:15" x14ac:dyDescent="0.3">
      <c r="A16" s="8" t="s">
        <v>12</v>
      </c>
      <c r="B16" s="8"/>
      <c r="C16" s="8">
        <v>89</v>
      </c>
      <c r="D16" s="9">
        <f t="shared" ref="D16:D26" si="1">466*C16</f>
        <v>41474</v>
      </c>
      <c r="E16" s="9">
        <f t="shared" ref="E16:E26" si="2">$C$2/12</f>
        <v>5875</v>
      </c>
      <c r="F16" s="10">
        <f t="shared" ref="F16:F26" si="3">$C$3/13</f>
        <v>0</v>
      </c>
      <c r="G16" s="11">
        <f t="shared" ref="G16:G26" si="4">$C$4/12</f>
        <v>1870.5833333333333</v>
      </c>
      <c r="H16" s="9">
        <f t="shared" ref="H16:H26" si="5">$C$5/12</f>
        <v>8608</v>
      </c>
      <c r="I16" s="9">
        <f t="shared" si="0"/>
        <v>450</v>
      </c>
      <c r="J16" s="9">
        <f t="shared" ref="J16:J26" si="6">($C$7+$C$8)/12</f>
        <v>1855.9166666666667</v>
      </c>
      <c r="K16" s="16">
        <f t="shared" ref="K16:K26" si="7">$C$9/12</f>
        <v>42630.25</v>
      </c>
      <c r="L16" s="4">
        <f t="shared" ref="L16:L26" si="8">$C$10/12</f>
        <v>0</v>
      </c>
      <c r="M16" s="4">
        <f t="shared" ref="M16:M26" si="9">$C$11/12</f>
        <v>15833.333333333334</v>
      </c>
      <c r="N16" s="4">
        <f t="shared" ref="N16:N26" si="10">$C$12/12</f>
        <v>0</v>
      </c>
      <c r="O16" s="6">
        <f t="shared" ref="O16:O25" si="11">$C$13/12</f>
        <v>0</v>
      </c>
    </row>
    <row r="17" spans="1:15" x14ac:dyDescent="0.3">
      <c r="A17" s="8" t="s">
        <v>13</v>
      </c>
      <c r="B17" s="8"/>
      <c r="C17" s="8"/>
      <c r="D17" s="9">
        <f t="shared" si="1"/>
        <v>0</v>
      </c>
      <c r="E17" s="9">
        <f t="shared" si="2"/>
        <v>5875</v>
      </c>
      <c r="F17" s="10">
        <f t="shared" si="3"/>
        <v>0</v>
      </c>
      <c r="G17" s="11">
        <f t="shared" si="4"/>
        <v>1870.5833333333333</v>
      </c>
      <c r="H17" s="9">
        <f t="shared" si="5"/>
        <v>8608</v>
      </c>
      <c r="I17" s="9">
        <f t="shared" si="0"/>
        <v>450</v>
      </c>
      <c r="J17" s="9">
        <f t="shared" si="6"/>
        <v>1855.9166666666667</v>
      </c>
      <c r="K17" s="16">
        <f t="shared" si="7"/>
        <v>42630.25</v>
      </c>
      <c r="L17" s="4">
        <f t="shared" si="8"/>
        <v>0</v>
      </c>
      <c r="M17" s="4">
        <f t="shared" si="9"/>
        <v>15833.333333333334</v>
      </c>
      <c r="N17" s="4">
        <f t="shared" si="10"/>
        <v>0</v>
      </c>
      <c r="O17" s="6">
        <f t="shared" si="11"/>
        <v>0</v>
      </c>
    </row>
    <row r="18" spans="1:15" x14ac:dyDescent="0.3">
      <c r="A18" s="8" t="s">
        <v>14</v>
      </c>
      <c r="B18" s="8"/>
      <c r="C18" s="12">
        <v>4</v>
      </c>
      <c r="D18" s="9">
        <f t="shared" si="1"/>
        <v>1864</v>
      </c>
      <c r="E18" s="9">
        <f t="shared" si="2"/>
        <v>5875</v>
      </c>
      <c r="F18" s="10">
        <f t="shared" si="3"/>
        <v>0</v>
      </c>
      <c r="G18" s="11">
        <f t="shared" si="4"/>
        <v>1870.5833333333333</v>
      </c>
      <c r="H18" s="9">
        <f t="shared" si="5"/>
        <v>8608</v>
      </c>
      <c r="I18" s="9">
        <f t="shared" si="0"/>
        <v>450</v>
      </c>
      <c r="J18" s="9">
        <f t="shared" si="6"/>
        <v>1855.9166666666667</v>
      </c>
      <c r="K18" s="16">
        <f t="shared" si="7"/>
        <v>42630.25</v>
      </c>
      <c r="L18" s="4">
        <f t="shared" si="8"/>
        <v>0</v>
      </c>
      <c r="M18" s="4">
        <f t="shared" si="9"/>
        <v>15833.333333333334</v>
      </c>
      <c r="N18" s="4">
        <f t="shared" si="10"/>
        <v>0</v>
      </c>
      <c r="O18" s="6">
        <f t="shared" si="11"/>
        <v>0</v>
      </c>
    </row>
    <row r="19" spans="1:15" x14ac:dyDescent="0.3">
      <c r="A19" s="8" t="s">
        <v>15</v>
      </c>
      <c r="B19" s="8"/>
      <c r="C19" s="8">
        <v>4</v>
      </c>
      <c r="D19" s="9">
        <f t="shared" si="1"/>
        <v>1864</v>
      </c>
      <c r="E19" s="9">
        <f t="shared" si="2"/>
        <v>5875</v>
      </c>
      <c r="F19" s="10">
        <f t="shared" si="3"/>
        <v>0</v>
      </c>
      <c r="G19" s="11">
        <f t="shared" si="4"/>
        <v>1870.5833333333333</v>
      </c>
      <c r="H19" s="9">
        <f t="shared" si="5"/>
        <v>8608</v>
      </c>
      <c r="I19" s="9">
        <f t="shared" si="0"/>
        <v>450</v>
      </c>
      <c r="J19" s="9">
        <f t="shared" si="6"/>
        <v>1855.9166666666667</v>
      </c>
      <c r="K19" s="16">
        <f t="shared" si="7"/>
        <v>42630.25</v>
      </c>
      <c r="L19" s="4">
        <f t="shared" si="8"/>
        <v>0</v>
      </c>
      <c r="M19" s="4">
        <f t="shared" si="9"/>
        <v>15833.333333333334</v>
      </c>
      <c r="N19" s="4">
        <f t="shared" si="10"/>
        <v>0</v>
      </c>
      <c r="O19" s="6">
        <f t="shared" si="11"/>
        <v>0</v>
      </c>
    </row>
    <row r="20" spans="1:15" x14ac:dyDescent="0.3">
      <c r="A20" s="8" t="s">
        <v>16</v>
      </c>
      <c r="B20" s="8"/>
      <c r="C20" s="8"/>
      <c r="D20" s="9">
        <f t="shared" si="1"/>
        <v>0</v>
      </c>
      <c r="E20" s="9">
        <f t="shared" si="2"/>
        <v>5875</v>
      </c>
      <c r="F20" s="10">
        <f t="shared" si="3"/>
        <v>0</v>
      </c>
      <c r="G20" s="11">
        <f t="shared" si="4"/>
        <v>1870.5833333333333</v>
      </c>
      <c r="H20" s="9">
        <f t="shared" si="5"/>
        <v>8608</v>
      </c>
      <c r="I20" s="9">
        <f t="shared" si="0"/>
        <v>450</v>
      </c>
      <c r="J20" s="9">
        <f t="shared" si="6"/>
        <v>1855.9166666666667</v>
      </c>
      <c r="K20" s="16">
        <f t="shared" si="7"/>
        <v>42630.25</v>
      </c>
      <c r="L20" s="4">
        <f t="shared" si="8"/>
        <v>0</v>
      </c>
      <c r="M20" s="4">
        <f t="shared" si="9"/>
        <v>15833.333333333334</v>
      </c>
      <c r="N20" s="4">
        <f t="shared" si="10"/>
        <v>0</v>
      </c>
      <c r="O20" s="6">
        <f t="shared" si="11"/>
        <v>0</v>
      </c>
    </row>
    <row r="21" spans="1:15" x14ac:dyDescent="0.3">
      <c r="A21" s="8" t="s">
        <v>17</v>
      </c>
      <c r="B21" s="8"/>
      <c r="C21" s="8">
        <v>110</v>
      </c>
      <c r="D21" s="9">
        <f t="shared" si="1"/>
        <v>51260</v>
      </c>
      <c r="E21" s="9">
        <f t="shared" si="2"/>
        <v>5875</v>
      </c>
      <c r="F21" s="10">
        <f t="shared" si="3"/>
        <v>0</v>
      </c>
      <c r="G21" s="11">
        <f t="shared" si="4"/>
        <v>1870.5833333333333</v>
      </c>
      <c r="H21" s="9">
        <f t="shared" si="5"/>
        <v>8608</v>
      </c>
      <c r="I21" s="9">
        <f t="shared" si="0"/>
        <v>450</v>
      </c>
      <c r="J21" s="9">
        <f t="shared" si="6"/>
        <v>1855.9166666666667</v>
      </c>
      <c r="K21" s="16">
        <f t="shared" si="7"/>
        <v>42630.25</v>
      </c>
      <c r="L21" s="4">
        <f t="shared" si="8"/>
        <v>0</v>
      </c>
      <c r="M21" s="4">
        <f t="shared" si="9"/>
        <v>15833.333333333334</v>
      </c>
      <c r="N21" s="4">
        <f t="shared" si="10"/>
        <v>0</v>
      </c>
      <c r="O21" s="6">
        <f t="shared" si="11"/>
        <v>0</v>
      </c>
    </row>
    <row r="22" spans="1:15" x14ac:dyDescent="0.3">
      <c r="A22" s="8" t="s">
        <v>18</v>
      </c>
      <c r="B22" s="8"/>
      <c r="C22" s="8">
        <v>4</v>
      </c>
      <c r="D22" s="9">
        <f t="shared" si="1"/>
        <v>1864</v>
      </c>
      <c r="E22" s="9">
        <f t="shared" si="2"/>
        <v>5875</v>
      </c>
      <c r="F22" s="10">
        <f t="shared" si="3"/>
        <v>0</v>
      </c>
      <c r="G22" s="11">
        <f t="shared" si="4"/>
        <v>1870.5833333333333</v>
      </c>
      <c r="H22" s="9">
        <f t="shared" si="5"/>
        <v>8608</v>
      </c>
      <c r="I22" s="9">
        <f t="shared" si="0"/>
        <v>450</v>
      </c>
      <c r="J22" s="9">
        <f t="shared" si="6"/>
        <v>1855.9166666666667</v>
      </c>
      <c r="K22" s="16">
        <f t="shared" si="7"/>
        <v>42630.25</v>
      </c>
      <c r="L22" s="4">
        <f t="shared" si="8"/>
        <v>0</v>
      </c>
      <c r="M22" s="4">
        <f t="shared" si="9"/>
        <v>15833.333333333334</v>
      </c>
      <c r="N22" s="4">
        <f t="shared" si="10"/>
        <v>0</v>
      </c>
      <c r="O22" s="6">
        <f t="shared" si="11"/>
        <v>0</v>
      </c>
    </row>
    <row r="23" spans="1:15" x14ac:dyDescent="0.3">
      <c r="A23" s="8" t="s">
        <v>19</v>
      </c>
      <c r="B23" s="8"/>
      <c r="C23" s="8">
        <v>89</v>
      </c>
      <c r="D23" s="9">
        <f t="shared" si="1"/>
        <v>41474</v>
      </c>
      <c r="E23" s="9">
        <f t="shared" si="2"/>
        <v>5875</v>
      </c>
      <c r="F23" s="10">
        <f t="shared" si="3"/>
        <v>0</v>
      </c>
      <c r="G23" s="11">
        <f t="shared" si="4"/>
        <v>1870.5833333333333</v>
      </c>
      <c r="H23" s="9">
        <f t="shared" si="5"/>
        <v>8608</v>
      </c>
      <c r="I23" s="9">
        <f t="shared" si="0"/>
        <v>450</v>
      </c>
      <c r="J23" s="9">
        <f t="shared" si="6"/>
        <v>1855.9166666666667</v>
      </c>
      <c r="K23" s="16">
        <f t="shared" si="7"/>
        <v>42630.25</v>
      </c>
      <c r="L23" s="4">
        <f t="shared" si="8"/>
        <v>0</v>
      </c>
      <c r="M23" s="4">
        <f t="shared" si="9"/>
        <v>15833.333333333334</v>
      </c>
      <c r="N23" s="4">
        <f t="shared" si="10"/>
        <v>0</v>
      </c>
      <c r="O23" s="6">
        <f t="shared" si="11"/>
        <v>0</v>
      </c>
    </row>
    <row r="24" spans="1:15" x14ac:dyDescent="0.3">
      <c r="A24" s="8" t="s">
        <v>20</v>
      </c>
      <c r="B24" s="8"/>
      <c r="C24" s="8">
        <v>1</v>
      </c>
      <c r="D24" s="9">
        <f t="shared" si="1"/>
        <v>466</v>
      </c>
      <c r="E24" s="9">
        <f t="shared" si="2"/>
        <v>5875</v>
      </c>
      <c r="F24" s="10">
        <f t="shared" si="3"/>
        <v>0</v>
      </c>
      <c r="G24" s="11">
        <f t="shared" si="4"/>
        <v>1870.5833333333333</v>
      </c>
      <c r="H24" s="9">
        <f t="shared" si="5"/>
        <v>8608</v>
      </c>
      <c r="I24" s="9">
        <f t="shared" si="0"/>
        <v>450</v>
      </c>
      <c r="J24" s="9">
        <f t="shared" si="6"/>
        <v>1855.9166666666667</v>
      </c>
      <c r="K24" s="16">
        <f t="shared" si="7"/>
        <v>42630.25</v>
      </c>
      <c r="L24" s="4">
        <f t="shared" si="8"/>
        <v>0</v>
      </c>
      <c r="M24" s="4">
        <f t="shared" si="9"/>
        <v>15833.333333333334</v>
      </c>
      <c r="N24" s="4">
        <f t="shared" si="10"/>
        <v>0</v>
      </c>
      <c r="O24" s="6">
        <f t="shared" si="11"/>
        <v>0</v>
      </c>
    </row>
    <row r="25" spans="1:15" x14ac:dyDescent="0.3">
      <c r="A25" s="8" t="s">
        <v>21</v>
      </c>
      <c r="B25" s="8"/>
      <c r="C25" s="8">
        <v>70</v>
      </c>
      <c r="D25" s="9">
        <f t="shared" si="1"/>
        <v>32620</v>
      </c>
      <c r="E25" s="9">
        <f t="shared" si="2"/>
        <v>5875</v>
      </c>
      <c r="F25" s="10">
        <f t="shared" si="3"/>
        <v>0</v>
      </c>
      <c r="G25" s="11">
        <f t="shared" si="4"/>
        <v>1870.5833333333333</v>
      </c>
      <c r="H25" s="9">
        <f t="shared" si="5"/>
        <v>8608</v>
      </c>
      <c r="I25" s="9">
        <f t="shared" si="0"/>
        <v>450</v>
      </c>
      <c r="J25" s="9">
        <f t="shared" si="6"/>
        <v>1855.9166666666667</v>
      </c>
      <c r="K25" s="16">
        <f t="shared" si="7"/>
        <v>42630.25</v>
      </c>
      <c r="L25" s="4">
        <f t="shared" si="8"/>
        <v>0</v>
      </c>
      <c r="M25" s="4">
        <f t="shared" si="9"/>
        <v>15833.333333333334</v>
      </c>
      <c r="N25" s="4">
        <f t="shared" si="10"/>
        <v>0</v>
      </c>
      <c r="O25" s="6">
        <f t="shared" si="11"/>
        <v>0</v>
      </c>
    </row>
    <row r="26" spans="1:15" x14ac:dyDescent="0.3">
      <c r="A26" s="8" t="s">
        <v>22</v>
      </c>
      <c r="B26" s="8"/>
      <c r="C26" s="8"/>
      <c r="D26" s="9">
        <f t="shared" si="1"/>
        <v>0</v>
      </c>
      <c r="E26" s="9">
        <f t="shared" si="2"/>
        <v>5875</v>
      </c>
      <c r="F26" s="10">
        <f t="shared" si="3"/>
        <v>0</v>
      </c>
      <c r="G26" s="11">
        <f t="shared" si="4"/>
        <v>1870.5833333333333</v>
      </c>
      <c r="H26" s="9">
        <f t="shared" si="5"/>
        <v>8608</v>
      </c>
      <c r="I26" s="9">
        <f t="shared" si="0"/>
        <v>450</v>
      </c>
      <c r="J26" s="9">
        <f t="shared" si="6"/>
        <v>1855.9166666666667</v>
      </c>
      <c r="K26" s="16">
        <f t="shared" si="7"/>
        <v>42630.25</v>
      </c>
      <c r="L26" s="4">
        <f t="shared" si="8"/>
        <v>0</v>
      </c>
      <c r="M26" s="4">
        <f t="shared" si="9"/>
        <v>15833.333333333334</v>
      </c>
      <c r="N26" s="4">
        <f t="shared" si="10"/>
        <v>0</v>
      </c>
      <c r="O26" s="6">
        <f>$C$13/12</f>
        <v>0</v>
      </c>
    </row>
    <row r="27" spans="1:15" x14ac:dyDescent="0.3"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5" x14ac:dyDescent="0.3">
      <c r="A28" s="18"/>
      <c r="B28" s="19"/>
    </row>
    <row r="29" spans="1:15" x14ac:dyDescent="0.3">
      <c r="A29" s="18"/>
      <c r="B29" s="19"/>
    </row>
    <row r="30" spans="1:15" x14ac:dyDescent="0.3">
      <c r="A30" s="18"/>
      <c r="B30" s="19"/>
    </row>
    <row r="31" spans="1:15" x14ac:dyDescent="0.3">
      <c r="A31" s="18"/>
      <c r="B31" s="19"/>
    </row>
    <row r="32" spans="1:15" x14ac:dyDescent="0.3">
      <c r="A32" s="18"/>
      <c r="B32" s="19"/>
    </row>
    <row r="33" spans="1:2" x14ac:dyDescent="0.3">
      <c r="A33" s="18"/>
      <c r="B33" s="19"/>
    </row>
    <row r="34" spans="1:2" x14ac:dyDescent="0.3">
      <c r="A34" s="18"/>
      <c r="B34" s="19"/>
    </row>
    <row r="35" spans="1:2" x14ac:dyDescent="0.3">
      <c r="A35" s="18"/>
      <c r="B35" s="19"/>
    </row>
    <row r="36" spans="1:2" x14ac:dyDescent="0.3">
      <c r="A36" s="18"/>
      <c r="B36" s="1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AB845-AC13-4A6B-B1D6-D9E172F60C10}">
  <dimension ref="A1:O39"/>
  <sheetViews>
    <sheetView topLeftCell="B1" zoomScale="78" zoomScaleNormal="78" workbookViewId="0">
      <selection activeCell="D15" sqref="D15:O26"/>
    </sheetView>
  </sheetViews>
  <sheetFormatPr defaultRowHeight="14.4" x14ac:dyDescent="0.3"/>
  <cols>
    <col min="1" max="1" width="29" bestFit="1" customWidth="1"/>
    <col min="2" max="2" width="16.109375" bestFit="1" customWidth="1"/>
    <col min="3" max="3" width="16.77734375" bestFit="1" customWidth="1"/>
    <col min="4" max="4" width="15.6640625" bestFit="1" customWidth="1"/>
    <col min="5" max="5" width="14.6640625" bestFit="1" customWidth="1"/>
    <col min="6" max="6" width="21.5546875" bestFit="1" customWidth="1"/>
    <col min="7" max="7" width="20" bestFit="1" customWidth="1"/>
    <col min="8" max="8" width="13.5546875" bestFit="1" customWidth="1"/>
    <col min="9" max="9" width="11.88671875" customWidth="1"/>
    <col min="10" max="10" width="13.44140625" bestFit="1" customWidth="1"/>
    <col min="11" max="11" width="11.77734375" customWidth="1"/>
    <col min="12" max="12" width="16.77734375" bestFit="1" customWidth="1"/>
    <col min="13" max="13" width="17.6640625" bestFit="1" customWidth="1"/>
    <col min="14" max="14" width="22.33203125" bestFit="1" customWidth="1"/>
    <col min="15" max="15" width="18.88671875" bestFit="1" customWidth="1"/>
  </cols>
  <sheetData>
    <row r="1" spans="1:15" x14ac:dyDescent="0.3">
      <c r="A1" s="3" t="s">
        <v>1</v>
      </c>
      <c r="B1" s="3" t="s">
        <v>2</v>
      </c>
      <c r="C1" s="3" t="s">
        <v>35</v>
      </c>
      <c r="D1" s="7" t="s">
        <v>36</v>
      </c>
      <c r="E1" s="4">
        <v>77215</v>
      </c>
      <c r="G1" s="7" t="s">
        <v>0</v>
      </c>
      <c r="H1" s="6">
        <v>100587</v>
      </c>
      <c r="J1" s="2">
        <f>SUM(C2:C12)+E1+H1+C13</f>
        <v>1578480</v>
      </c>
    </row>
    <row r="2" spans="1:15" x14ac:dyDescent="0.3">
      <c r="A2" t="s">
        <v>3</v>
      </c>
      <c r="C2" s="1"/>
      <c r="D2" s="6" t="s">
        <v>28</v>
      </c>
      <c r="E2" s="6">
        <f>B16+B17+B21+B22+B24+B25</f>
        <v>0</v>
      </c>
      <c r="G2" s="6" t="s">
        <v>28</v>
      </c>
      <c r="H2" s="6"/>
    </row>
    <row r="3" spans="1:15" x14ac:dyDescent="0.3">
      <c r="A3" t="s">
        <v>9</v>
      </c>
      <c r="C3" s="2">
        <v>73843</v>
      </c>
      <c r="D3" s="6" t="s">
        <v>29</v>
      </c>
      <c r="E3" s="4" t="e">
        <f>E1/E2</f>
        <v>#DIV/0!</v>
      </c>
      <c r="G3" s="6" t="s">
        <v>31</v>
      </c>
      <c r="H3" s="4" t="e">
        <f>H1/H2</f>
        <v>#DIV/0!</v>
      </c>
    </row>
    <row r="4" spans="1:15" x14ac:dyDescent="0.3">
      <c r="A4" t="s">
        <v>6</v>
      </c>
      <c r="B4" s="1"/>
      <c r="C4" s="2"/>
    </row>
    <row r="5" spans="1:15" x14ac:dyDescent="0.3">
      <c r="A5" t="s">
        <v>5</v>
      </c>
      <c r="B5" s="1"/>
      <c r="C5" s="2">
        <v>116316</v>
      </c>
      <c r="E5" s="2"/>
    </row>
    <row r="6" spans="1:15" x14ac:dyDescent="0.3">
      <c r="A6" t="s">
        <v>42</v>
      </c>
      <c r="C6" s="2">
        <v>24688</v>
      </c>
      <c r="D6" s="2"/>
      <c r="E6" s="2"/>
    </row>
    <row r="7" spans="1:15" x14ac:dyDescent="0.3">
      <c r="A7" t="s">
        <v>7</v>
      </c>
      <c r="C7" s="2">
        <v>21680</v>
      </c>
      <c r="E7" t="s">
        <v>53</v>
      </c>
      <c r="F7" s="2">
        <f>E1+H1</f>
        <v>177802</v>
      </c>
    </row>
    <row r="8" spans="1:15" x14ac:dyDescent="0.3">
      <c r="A8" t="s">
        <v>47</v>
      </c>
      <c r="C8" s="1"/>
      <c r="E8" t="s">
        <v>54</v>
      </c>
      <c r="F8">
        <f>SUM(C14:C25)</f>
        <v>793</v>
      </c>
    </row>
    <row r="9" spans="1:15" x14ac:dyDescent="0.3">
      <c r="A9" t="s">
        <v>10</v>
      </c>
      <c r="C9" s="2">
        <f>560329+23863</f>
        <v>584192</v>
      </c>
      <c r="D9" s="2"/>
      <c r="E9" t="s">
        <v>55</v>
      </c>
      <c r="F9" s="2">
        <f>F7/F8</f>
        <v>224.21437578814627</v>
      </c>
    </row>
    <row r="10" spans="1:15" x14ac:dyDescent="0.3">
      <c r="A10" t="s">
        <v>45</v>
      </c>
      <c r="C10" s="2">
        <v>44808</v>
      </c>
    </row>
    <row r="11" spans="1:15" x14ac:dyDescent="0.3">
      <c r="A11" t="s">
        <v>46</v>
      </c>
      <c r="C11" s="2">
        <v>190000</v>
      </c>
    </row>
    <row r="12" spans="1:15" x14ac:dyDescent="0.3">
      <c r="A12" t="s">
        <v>49</v>
      </c>
      <c r="C12" s="2">
        <v>33287</v>
      </c>
    </row>
    <row r="13" spans="1:15" x14ac:dyDescent="0.3">
      <c r="A13" t="s">
        <v>48</v>
      </c>
      <c r="C13" s="2">
        <v>311864</v>
      </c>
    </row>
    <row r="14" spans="1:15" x14ac:dyDescent="0.3">
      <c r="A14" s="13" t="s">
        <v>33</v>
      </c>
      <c r="B14" s="13" t="s">
        <v>23</v>
      </c>
      <c r="C14" s="13" t="s">
        <v>25</v>
      </c>
      <c r="D14" s="13" t="s">
        <v>30</v>
      </c>
      <c r="E14" s="13" t="s">
        <v>34</v>
      </c>
      <c r="F14" s="14" t="s">
        <v>37</v>
      </c>
      <c r="G14" s="14" t="s">
        <v>6</v>
      </c>
      <c r="H14" s="13" t="s">
        <v>38</v>
      </c>
      <c r="I14" s="13" t="s">
        <v>39</v>
      </c>
      <c r="J14" s="13" t="s">
        <v>40</v>
      </c>
      <c r="K14" s="15" t="s">
        <v>41</v>
      </c>
      <c r="L14" s="17" t="s">
        <v>45</v>
      </c>
      <c r="M14" s="13" t="s">
        <v>46</v>
      </c>
      <c r="N14" s="13" t="s">
        <v>50</v>
      </c>
      <c r="O14" s="13" t="s">
        <v>51</v>
      </c>
    </row>
    <row r="15" spans="1:15" x14ac:dyDescent="0.3">
      <c r="A15" s="8" t="s">
        <v>11</v>
      </c>
      <c r="B15" s="8"/>
      <c r="C15" s="8">
        <v>33</v>
      </c>
      <c r="D15" s="9">
        <f>C15*224</f>
        <v>7392</v>
      </c>
      <c r="E15" s="9">
        <f>$C$2/12</f>
        <v>0</v>
      </c>
      <c r="F15" s="10">
        <f>$C$3/12</f>
        <v>6153.583333333333</v>
      </c>
      <c r="G15" s="11">
        <f>$C$4/12</f>
        <v>0</v>
      </c>
      <c r="H15" s="9">
        <f>$C$5/12</f>
        <v>9693</v>
      </c>
      <c r="I15" s="9">
        <f t="shared" ref="I15:I26" si="0">$C$6/12</f>
        <v>2057.3333333333335</v>
      </c>
      <c r="J15" s="9">
        <f>($C$7+$C$8)/12</f>
        <v>1806.6666666666667</v>
      </c>
      <c r="K15" s="16">
        <f>$C$9/12</f>
        <v>48682.666666666664</v>
      </c>
      <c r="L15" s="4">
        <f>$C$10/12</f>
        <v>3734</v>
      </c>
      <c r="M15" s="4">
        <f>$C$11/12</f>
        <v>15833.333333333334</v>
      </c>
      <c r="N15" s="4">
        <f>$C$12/12</f>
        <v>2773.9166666666665</v>
      </c>
      <c r="O15" s="6">
        <f>$C$13/12</f>
        <v>25988.666666666668</v>
      </c>
    </row>
    <row r="16" spans="1:15" x14ac:dyDescent="0.3">
      <c r="A16" s="8" t="s">
        <v>12</v>
      </c>
      <c r="B16" s="8"/>
      <c r="C16" s="8">
        <v>237</v>
      </c>
      <c r="D16" s="9">
        <f t="shared" ref="D16:D26" si="1">C16*224</f>
        <v>53088</v>
      </c>
      <c r="E16" s="9">
        <f t="shared" ref="E16:E26" si="2">$C$2/12</f>
        <v>0</v>
      </c>
      <c r="F16" s="10">
        <f t="shared" ref="F16:F26" si="3">$C$3/12</f>
        <v>6153.583333333333</v>
      </c>
      <c r="G16" s="11">
        <f t="shared" ref="G16:G26" si="4">$C$4/12</f>
        <v>0</v>
      </c>
      <c r="H16" s="9">
        <f t="shared" ref="H16:H26" si="5">$C$5/12</f>
        <v>9693</v>
      </c>
      <c r="I16" s="9">
        <f t="shared" si="0"/>
        <v>2057.3333333333335</v>
      </c>
      <c r="J16" s="9">
        <f t="shared" ref="J16:J26" si="6">($C$7+$C$8)/12</f>
        <v>1806.6666666666667</v>
      </c>
      <c r="K16" s="16">
        <f t="shared" ref="K16:K26" si="7">$C$9/12</f>
        <v>48682.666666666664</v>
      </c>
      <c r="L16" s="4">
        <f t="shared" ref="L16:L26" si="8">$C$10/12</f>
        <v>3734</v>
      </c>
      <c r="M16" s="4">
        <f t="shared" ref="M16:M26" si="9">$C$11/12</f>
        <v>15833.333333333334</v>
      </c>
      <c r="N16" s="4">
        <f t="shared" ref="N16:N26" si="10">$C$12/12</f>
        <v>2773.9166666666665</v>
      </c>
      <c r="O16" s="6">
        <f t="shared" ref="O16:O25" si="11">$C$13/12</f>
        <v>25988.666666666668</v>
      </c>
    </row>
    <row r="17" spans="1:15" x14ac:dyDescent="0.3">
      <c r="A17" s="8" t="s">
        <v>13</v>
      </c>
      <c r="B17" s="8"/>
      <c r="C17" s="8">
        <v>231</v>
      </c>
      <c r="D17" s="9">
        <f t="shared" si="1"/>
        <v>51744</v>
      </c>
      <c r="E17" s="9">
        <f t="shared" si="2"/>
        <v>0</v>
      </c>
      <c r="F17" s="10">
        <f t="shared" si="3"/>
        <v>6153.583333333333</v>
      </c>
      <c r="G17" s="11">
        <f t="shared" si="4"/>
        <v>0</v>
      </c>
      <c r="H17" s="9">
        <f t="shared" si="5"/>
        <v>9693</v>
      </c>
      <c r="I17" s="9">
        <f t="shared" si="0"/>
        <v>2057.3333333333335</v>
      </c>
      <c r="J17" s="9">
        <f t="shared" si="6"/>
        <v>1806.6666666666667</v>
      </c>
      <c r="K17" s="16">
        <f t="shared" si="7"/>
        <v>48682.666666666664</v>
      </c>
      <c r="L17" s="4">
        <f t="shared" si="8"/>
        <v>3734</v>
      </c>
      <c r="M17" s="4">
        <f t="shared" si="9"/>
        <v>15833.333333333334</v>
      </c>
      <c r="N17" s="4">
        <f t="shared" si="10"/>
        <v>2773.9166666666665</v>
      </c>
      <c r="O17" s="6">
        <f t="shared" si="11"/>
        <v>25988.666666666668</v>
      </c>
    </row>
    <row r="18" spans="1:15" x14ac:dyDescent="0.3">
      <c r="A18" s="8" t="s">
        <v>14</v>
      </c>
      <c r="B18" s="8"/>
      <c r="C18" s="12">
        <v>5</v>
      </c>
      <c r="D18" s="9">
        <f t="shared" si="1"/>
        <v>1120</v>
      </c>
      <c r="E18" s="9">
        <f t="shared" si="2"/>
        <v>0</v>
      </c>
      <c r="F18" s="10">
        <f t="shared" si="3"/>
        <v>6153.583333333333</v>
      </c>
      <c r="G18" s="11">
        <f t="shared" si="4"/>
        <v>0</v>
      </c>
      <c r="H18" s="9">
        <f t="shared" si="5"/>
        <v>9693</v>
      </c>
      <c r="I18" s="9">
        <f t="shared" si="0"/>
        <v>2057.3333333333335</v>
      </c>
      <c r="J18" s="9">
        <f t="shared" si="6"/>
        <v>1806.6666666666667</v>
      </c>
      <c r="K18" s="16">
        <f t="shared" si="7"/>
        <v>48682.666666666664</v>
      </c>
      <c r="L18" s="4">
        <f t="shared" si="8"/>
        <v>3734</v>
      </c>
      <c r="M18" s="4">
        <f t="shared" si="9"/>
        <v>15833.333333333334</v>
      </c>
      <c r="N18" s="4">
        <f t="shared" si="10"/>
        <v>2773.9166666666665</v>
      </c>
      <c r="O18" s="6">
        <f t="shared" si="11"/>
        <v>25988.666666666668</v>
      </c>
    </row>
    <row r="19" spans="1:15" x14ac:dyDescent="0.3">
      <c r="A19" s="8" t="s">
        <v>15</v>
      </c>
      <c r="B19" s="8"/>
      <c r="C19" s="8">
        <v>5</v>
      </c>
      <c r="D19" s="9">
        <f t="shared" si="1"/>
        <v>1120</v>
      </c>
      <c r="E19" s="9">
        <f t="shared" si="2"/>
        <v>0</v>
      </c>
      <c r="F19" s="10">
        <f t="shared" si="3"/>
        <v>6153.583333333333</v>
      </c>
      <c r="G19" s="11">
        <f t="shared" si="4"/>
        <v>0</v>
      </c>
      <c r="H19" s="9">
        <f t="shared" si="5"/>
        <v>9693</v>
      </c>
      <c r="I19" s="9">
        <f t="shared" si="0"/>
        <v>2057.3333333333335</v>
      </c>
      <c r="J19" s="9">
        <f t="shared" si="6"/>
        <v>1806.6666666666667</v>
      </c>
      <c r="K19" s="16">
        <f t="shared" si="7"/>
        <v>48682.666666666664</v>
      </c>
      <c r="L19" s="4">
        <f t="shared" si="8"/>
        <v>3734</v>
      </c>
      <c r="M19" s="4">
        <f t="shared" si="9"/>
        <v>15833.333333333334</v>
      </c>
      <c r="N19" s="4">
        <f t="shared" si="10"/>
        <v>2773.9166666666665</v>
      </c>
      <c r="O19" s="6">
        <f t="shared" si="11"/>
        <v>25988.666666666668</v>
      </c>
    </row>
    <row r="20" spans="1:15" x14ac:dyDescent="0.3">
      <c r="A20" s="8" t="s">
        <v>16</v>
      </c>
      <c r="B20" s="8"/>
      <c r="C20" s="8"/>
      <c r="D20" s="9">
        <f t="shared" si="1"/>
        <v>0</v>
      </c>
      <c r="E20" s="9">
        <f t="shared" si="2"/>
        <v>0</v>
      </c>
      <c r="F20" s="10">
        <f t="shared" si="3"/>
        <v>6153.583333333333</v>
      </c>
      <c r="G20" s="11">
        <f t="shared" si="4"/>
        <v>0</v>
      </c>
      <c r="H20" s="9">
        <f t="shared" si="5"/>
        <v>9693</v>
      </c>
      <c r="I20" s="9">
        <f t="shared" si="0"/>
        <v>2057.3333333333335</v>
      </c>
      <c r="J20" s="9">
        <f t="shared" si="6"/>
        <v>1806.6666666666667</v>
      </c>
      <c r="K20" s="16">
        <f t="shared" si="7"/>
        <v>48682.666666666664</v>
      </c>
      <c r="L20" s="4">
        <f t="shared" si="8"/>
        <v>3734</v>
      </c>
      <c r="M20" s="4">
        <f t="shared" si="9"/>
        <v>15833.333333333334</v>
      </c>
      <c r="N20" s="4">
        <f t="shared" si="10"/>
        <v>2773.9166666666665</v>
      </c>
      <c r="O20" s="6">
        <f t="shared" si="11"/>
        <v>25988.666666666668</v>
      </c>
    </row>
    <row r="21" spans="1:15" x14ac:dyDescent="0.3">
      <c r="A21" s="8" t="s">
        <v>17</v>
      </c>
      <c r="B21" s="8"/>
      <c r="C21" s="8">
        <v>7</v>
      </c>
      <c r="D21" s="9">
        <f t="shared" si="1"/>
        <v>1568</v>
      </c>
      <c r="E21" s="9">
        <f t="shared" si="2"/>
        <v>0</v>
      </c>
      <c r="F21" s="10">
        <f t="shared" si="3"/>
        <v>6153.583333333333</v>
      </c>
      <c r="G21" s="11">
        <f t="shared" si="4"/>
        <v>0</v>
      </c>
      <c r="H21" s="9">
        <f t="shared" si="5"/>
        <v>9693</v>
      </c>
      <c r="I21" s="9">
        <f t="shared" si="0"/>
        <v>2057.3333333333335</v>
      </c>
      <c r="J21" s="9">
        <f t="shared" si="6"/>
        <v>1806.6666666666667</v>
      </c>
      <c r="K21" s="16">
        <f t="shared" si="7"/>
        <v>48682.666666666664</v>
      </c>
      <c r="L21" s="4">
        <f t="shared" si="8"/>
        <v>3734</v>
      </c>
      <c r="M21" s="4">
        <f t="shared" si="9"/>
        <v>15833.333333333334</v>
      </c>
      <c r="N21" s="4">
        <f t="shared" si="10"/>
        <v>2773.9166666666665</v>
      </c>
      <c r="O21" s="6">
        <f t="shared" si="11"/>
        <v>25988.666666666668</v>
      </c>
    </row>
    <row r="22" spans="1:15" x14ac:dyDescent="0.3">
      <c r="A22" s="8" t="s">
        <v>18</v>
      </c>
      <c r="B22" s="8"/>
      <c r="C22" s="8"/>
      <c r="D22" s="9">
        <f t="shared" si="1"/>
        <v>0</v>
      </c>
      <c r="E22" s="9">
        <f t="shared" si="2"/>
        <v>0</v>
      </c>
      <c r="F22" s="10">
        <f t="shared" si="3"/>
        <v>6153.583333333333</v>
      </c>
      <c r="G22" s="11">
        <f t="shared" si="4"/>
        <v>0</v>
      </c>
      <c r="H22" s="9">
        <f t="shared" si="5"/>
        <v>9693</v>
      </c>
      <c r="I22" s="9">
        <f t="shared" si="0"/>
        <v>2057.3333333333335</v>
      </c>
      <c r="J22" s="9">
        <f t="shared" si="6"/>
        <v>1806.6666666666667</v>
      </c>
      <c r="K22" s="16">
        <f t="shared" si="7"/>
        <v>48682.666666666664</v>
      </c>
      <c r="L22" s="4">
        <f t="shared" si="8"/>
        <v>3734</v>
      </c>
      <c r="M22" s="4">
        <f t="shared" si="9"/>
        <v>15833.333333333334</v>
      </c>
      <c r="N22" s="4">
        <f t="shared" si="10"/>
        <v>2773.9166666666665</v>
      </c>
      <c r="O22" s="6">
        <f t="shared" si="11"/>
        <v>25988.666666666668</v>
      </c>
    </row>
    <row r="23" spans="1:15" x14ac:dyDescent="0.3">
      <c r="A23" s="8" t="s">
        <v>19</v>
      </c>
      <c r="B23" s="8"/>
      <c r="C23" s="8">
        <v>172</v>
      </c>
      <c r="D23" s="9">
        <f t="shared" si="1"/>
        <v>38528</v>
      </c>
      <c r="E23" s="9">
        <f t="shared" si="2"/>
        <v>0</v>
      </c>
      <c r="F23" s="10">
        <f t="shared" si="3"/>
        <v>6153.583333333333</v>
      </c>
      <c r="G23" s="11">
        <f t="shared" si="4"/>
        <v>0</v>
      </c>
      <c r="H23" s="9">
        <f t="shared" si="5"/>
        <v>9693</v>
      </c>
      <c r="I23" s="9">
        <f t="shared" si="0"/>
        <v>2057.3333333333335</v>
      </c>
      <c r="J23" s="9">
        <f t="shared" si="6"/>
        <v>1806.6666666666667</v>
      </c>
      <c r="K23" s="16">
        <f t="shared" si="7"/>
        <v>48682.666666666664</v>
      </c>
      <c r="L23" s="4">
        <f t="shared" si="8"/>
        <v>3734</v>
      </c>
      <c r="M23" s="4">
        <f t="shared" si="9"/>
        <v>15833.333333333334</v>
      </c>
      <c r="N23" s="4">
        <f t="shared" si="10"/>
        <v>2773.9166666666665</v>
      </c>
      <c r="O23" s="6">
        <f t="shared" si="11"/>
        <v>25988.666666666668</v>
      </c>
    </row>
    <row r="24" spans="1:15" x14ac:dyDescent="0.3">
      <c r="A24" s="8" t="s">
        <v>20</v>
      </c>
      <c r="B24" s="8"/>
      <c r="C24" s="8">
        <v>4</v>
      </c>
      <c r="D24" s="9">
        <f t="shared" si="1"/>
        <v>896</v>
      </c>
      <c r="E24" s="9">
        <f t="shared" si="2"/>
        <v>0</v>
      </c>
      <c r="F24" s="10">
        <f t="shared" si="3"/>
        <v>6153.583333333333</v>
      </c>
      <c r="G24" s="11">
        <f t="shared" si="4"/>
        <v>0</v>
      </c>
      <c r="H24" s="9">
        <f t="shared" si="5"/>
        <v>9693</v>
      </c>
      <c r="I24" s="9">
        <f t="shared" si="0"/>
        <v>2057.3333333333335</v>
      </c>
      <c r="J24" s="9">
        <f t="shared" si="6"/>
        <v>1806.6666666666667</v>
      </c>
      <c r="K24" s="16">
        <f t="shared" si="7"/>
        <v>48682.666666666664</v>
      </c>
      <c r="L24" s="4">
        <f t="shared" si="8"/>
        <v>3734</v>
      </c>
      <c r="M24" s="4">
        <f t="shared" si="9"/>
        <v>15833.333333333334</v>
      </c>
      <c r="N24" s="4">
        <f t="shared" si="10"/>
        <v>2773.9166666666665</v>
      </c>
      <c r="O24" s="6">
        <f t="shared" si="11"/>
        <v>25988.666666666668</v>
      </c>
    </row>
    <row r="25" spans="1:15" x14ac:dyDescent="0.3">
      <c r="A25" s="8" t="s">
        <v>21</v>
      </c>
      <c r="B25" s="8"/>
      <c r="C25" s="8">
        <v>99</v>
      </c>
      <c r="D25" s="9">
        <f t="shared" si="1"/>
        <v>22176</v>
      </c>
      <c r="E25" s="9">
        <f t="shared" si="2"/>
        <v>0</v>
      </c>
      <c r="F25" s="10">
        <f t="shared" si="3"/>
        <v>6153.583333333333</v>
      </c>
      <c r="G25" s="11">
        <f t="shared" si="4"/>
        <v>0</v>
      </c>
      <c r="H25" s="9">
        <f t="shared" si="5"/>
        <v>9693</v>
      </c>
      <c r="I25" s="9">
        <f t="shared" si="0"/>
        <v>2057.3333333333335</v>
      </c>
      <c r="J25" s="9">
        <f t="shared" si="6"/>
        <v>1806.6666666666667</v>
      </c>
      <c r="K25" s="16">
        <f t="shared" si="7"/>
        <v>48682.666666666664</v>
      </c>
      <c r="L25" s="4">
        <f t="shared" si="8"/>
        <v>3734</v>
      </c>
      <c r="M25" s="4">
        <f t="shared" si="9"/>
        <v>15833.333333333334</v>
      </c>
      <c r="N25" s="4">
        <f t="shared" si="10"/>
        <v>2773.9166666666665</v>
      </c>
      <c r="O25" s="6">
        <f t="shared" si="11"/>
        <v>25988.666666666668</v>
      </c>
    </row>
    <row r="26" spans="1:15" x14ac:dyDescent="0.3">
      <c r="A26" s="8" t="s">
        <v>22</v>
      </c>
      <c r="B26" s="8"/>
      <c r="C26" s="8"/>
      <c r="D26" s="9">
        <f t="shared" si="1"/>
        <v>0</v>
      </c>
      <c r="E26" s="9">
        <f t="shared" si="2"/>
        <v>0</v>
      </c>
      <c r="F26" s="10">
        <f t="shared" si="3"/>
        <v>6153.583333333333</v>
      </c>
      <c r="G26" s="11">
        <f t="shared" si="4"/>
        <v>0</v>
      </c>
      <c r="H26" s="9">
        <f t="shared" si="5"/>
        <v>9693</v>
      </c>
      <c r="I26" s="9">
        <f t="shared" si="0"/>
        <v>2057.3333333333335</v>
      </c>
      <c r="J26" s="9">
        <f t="shared" si="6"/>
        <v>1806.6666666666667</v>
      </c>
      <c r="K26" s="16">
        <f t="shared" si="7"/>
        <v>48682.666666666664</v>
      </c>
      <c r="L26" s="4">
        <f t="shared" si="8"/>
        <v>3734</v>
      </c>
      <c r="M26" s="4">
        <f t="shared" si="9"/>
        <v>15833.333333333334</v>
      </c>
      <c r="N26" s="4">
        <f t="shared" si="10"/>
        <v>2773.9166666666665</v>
      </c>
      <c r="O26" s="6">
        <f>$C$13/12</f>
        <v>25988.666666666668</v>
      </c>
    </row>
    <row r="27" spans="1:15" x14ac:dyDescent="0.3">
      <c r="D27" s="2"/>
      <c r="E27" s="2"/>
      <c r="F27" s="2"/>
      <c r="G27" s="2"/>
      <c r="H27" s="2"/>
      <c r="I27" s="2"/>
      <c r="J27" s="2"/>
      <c r="K27" s="2"/>
      <c r="L27" s="2"/>
      <c r="M27" s="2"/>
    </row>
    <row r="31" spans="1:15" x14ac:dyDescent="0.3">
      <c r="A31" s="18"/>
      <c r="B31" s="19"/>
    </row>
    <row r="32" spans="1:15" x14ac:dyDescent="0.3">
      <c r="A32" s="18"/>
      <c r="B32" s="19"/>
    </row>
    <row r="33" spans="1:2" x14ac:dyDescent="0.3">
      <c r="A33" s="18"/>
      <c r="B33" s="19"/>
    </row>
    <row r="34" spans="1:2" x14ac:dyDescent="0.3">
      <c r="A34" s="18"/>
      <c r="B34" s="19"/>
    </row>
    <row r="35" spans="1:2" x14ac:dyDescent="0.3">
      <c r="A35" s="18"/>
      <c r="B35" s="19"/>
    </row>
    <row r="36" spans="1:2" x14ac:dyDescent="0.3">
      <c r="A36" s="18"/>
      <c r="B36" s="19"/>
    </row>
    <row r="37" spans="1:2" x14ac:dyDescent="0.3">
      <c r="A37" s="18"/>
      <c r="B37" s="19"/>
    </row>
    <row r="38" spans="1:2" x14ac:dyDescent="0.3">
      <c r="A38" s="18"/>
      <c r="B38" s="19"/>
    </row>
    <row r="39" spans="1:2" x14ac:dyDescent="0.3">
      <c r="A39" s="18"/>
      <c r="B39" s="19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FB7C2-CC54-45C5-9290-2D8CD59FA031}">
  <dimension ref="A1:O37"/>
  <sheetViews>
    <sheetView zoomScale="68" zoomScaleNormal="68" workbookViewId="0">
      <selection activeCell="C15" sqref="C15:O26"/>
    </sheetView>
  </sheetViews>
  <sheetFormatPr defaultRowHeight="14.4" x14ac:dyDescent="0.3"/>
  <cols>
    <col min="1" max="1" width="29" bestFit="1" customWidth="1"/>
    <col min="2" max="2" width="16.109375" bestFit="1" customWidth="1"/>
    <col min="3" max="3" width="16.77734375" bestFit="1" customWidth="1"/>
    <col min="4" max="4" width="15.6640625" bestFit="1" customWidth="1"/>
    <col min="5" max="5" width="14.6640625" bestFit="1" customWidth="1"/>
    <col min="6" max="6" width="21.5546875" bestFit="1" customWidth="1"/>
    <col min="7" max="7" width="20" bestFit="1" customWidth="1"/>
    <col min="8" max="8" width="13.5546875" bestFit="1" customWidth="1"/>
    <col min="9" max="9" width="11.88671875" customWidth="1"/>
    <col min="10" max="10" width="13.44140625" bestFit="1" customWidth="1"/>
    <col min="11" max="11" width="11.77734375" customWidth="1"/>
    <col min="12" max="12" width="16.77734375" bestFit="1" customWidth="1"/>
    <col min="13" max="13" width="17.6640625" bestFit="1" customWidth="1"/>
    <col min="14" max="14" width="22.33203125" bestFit="1" customWidth="1"/>
    <col min="15" max="15" width="18.88671875" bestFit="1" customWidth="1"/>
  </cols>
  <sheetData>
    <row r="1" spans="1:15" x14ac:dyDescent="0.3">
      <c r="A1" s="3" t="s">
        <v>1</v>
      </c>
      <c r="B1" s="3" t="s">
        <v>2</v>
      </c>
      <c r="C1" s="3" t="s">
        <v>35</v>
      </c>
      <c r="D1" s="7" t="s">
        <v>36</v>
      </c>
      <c r="E1" s="4">
        <v>80299</v>
      </c>
      <c r="G1" s="7" t="s">
        <v>0</v>
      </c>
      <c r="H1" s="6">
        <v>93797</v>
      </c>
      <c r="J1" s="2">
        <f>SUM(C2:C12)+E1+H1+C13</f>
        <v>1386961</v>
      </c>
    </row>
    <row r="2" spans="1:15" x14ac:dyDescent="0.3">
      <c r="A2" t="s">
        <v>3</v>
      </c>
      <c r="C2" s="1">
        <v>70500</v>
      </c>
      <c r="D2" s="6" t="s">
        <v>28</v>
      </c>
      <c r="E2" s="6">
        <f>B16+B17+B21+B22+B24+B25</f>
        <v>0</v>
      </c>
      <c r="G2" s="6" t="s">
        <v>28</v>
      </c>
      <c r="H2" s="6"/>
    </row>
    <row r="3" spans="1:15" x14ac:dyDescent="0.3">
      <c r="A3" t="s">
        <v>52</v>
      </c>
      <c r="C3" s="2">
        <v>9615</v>
      </c>
      <c r="D3" s="6" t="s">
        <v>29</v>
      </c>
      <c r="E3" s="4" t="e">
        <f>E1/E2</f>
        <v>#DIV/0!</v>
      </c>
      <c r="G3" s="6" t="s">
        <v>31</v>
      </c>
      <c r="H3" s="4" t="e">
        <f>H1/H2</f>
        <v>#DIV/0!</v>
      </c>
    </row>
    <row r="4" spans="1:15" x14ac:dyDescent="0.3">
      <c r="A4" t="s">
        <v>6</v>
      </c>
      <c r="B4" s="1"/>
      <c r="C4" s="2"/>
    </row>
    <row r="5" spans="1:15" x14ac:dyDescent="0.3">
      <c r="A5" t="s">
        <v>5</v>
      </c>
      <c r="B5" s="1"/>
      <c r="C5" s="2">
        <v>23258</v>
      </c>
      <c r="E5" s="2"/>
    </row>
    <row r="6" spans="1:15" x14ac:dyDescent="0.3">
      <c r="A6" t="s">
        <v>42</v>
      </c>
      <c r="C6" s="2">
        <v>5400</v>
      </c>
      <c r="D6" s="2"/>
      <c r="E6" s="2"/>
    </row>
    <row r="7" spans="1:15" x14ac:dyDescent="0.3">
      <c r="A7" t="s">
        <v>7</v>
      </c>
      <c r="C7" s="2">
        <v>20935</v>
      </c>
      <c r="E7" t="s">
        <v>53</v>
      </c>
      <c r="F7" s="2">
        <f>E1+H1</f>
        <v>174096</v>
      </c>
    </row>
    <row r="8" spans="1:15" x14ac:dyDescent="0.3">
      <c r="A8" t="s">
        <v>47</v>
      </c>
      <c r="C8" s="1">
        <v>127431</v>
      </c>
      <c r="E8" t="s">
        <v>54</v>
      </c>
      <c r="F8">
        <f>SUM(C14:C25)</f>
        <v>501</v>
      </c>
    </row>
    <row r="9" spans="1:15" x14ac:dyDescent="0.3">
      <c r="A9" t="s">
        <v>10</v>
      </c>
      <c r="C9" s="2">
        <f>538849+22608</f>
        <v>561457</v>
      </c>
      <c r="D9" s="2"/>
      <c r="E9" t="s">
        <v>55</v>
      </c>
      <c r="F9" s="2">
        <f>F7/F8</f>
        <v>347.49700598802394</v>
      </c>
    </row>
    <row r="10" spans="1:15" x14ac:dyDescent="0.3">
      <c r="A10" t="s">
        <v>45</v>
      </c>
      <c r="C10" s="1">
        <v>18538</v>
      </c>
    </row>
    <row r="11" spans="1:15" x14ac:dyDescent="0.3">
      <c r="A11" t="s">
        <v>46</v>
      </c>
      <c r="C11" s="2">
        <v>220000</v>
      </c>
    </row>
    <row r="12" spans="1:15" x14ac:dyDescent="0.3">
      <c r="A12" t="s">
        <v>49</v>
      </c>
      <c r="C12" s="2">
        <v>58331</v>
      </c>
    </row>
    <row r="13" spans="1:15" x14ac:dyDescent="0.3">
      <c r="A13" t="s">
        <v>48</v>
      </c>
      <c r="C13" s="2">
        <v>97400</v>
      </c>
    </row>
    <row r="14" spans="1:15" x14ac:dyDescent="0.3">
      <c r="A14" s="13" t="s">
        <v>33</v>
      </c>
      <c r="B14" s="13" t="s">
        <v>23</v>
      </c>
      <c r="C14" s="13" t="s">
        <v>25</v>
      </c>
      <c r="D14" s="13" t="s">
        <v>30</v>
      </c>
      <c r="E14" s="13" t="s">
        <v>34</v>
      </c>
      <c r="F14" s="14" t="s">
        <v>37</v>
      </c>
      <c r="G14" s="14" t="s">
        <v>6</v>
      </c>
      <c r="H14" s="13" t="s">
        <v>38</v>
      </c>
      <c r="I14" s="13" t="s">
        <v>39</v>
      </c>
      <c r="J14" s="13" t="s">
        <v>40</v>
      </c>
      <c r="K14" s="15" t="s">
        <v>41</v>
      </c>
      <c r="L14" s="17" t="s">
        <v>45</v>
      </c>
      <c r="M14" s="13" t="s">
        <v>46</v>
      </c>
      <c r="N14" s="13" t="s">
        <v>50</v>
      </c>
      <c r="O14" s="13" t="s">
        <v>51</v>
      </c>
    </row>
    <row r="15" spans="1:15" x14ac:dyDescent="0.3">
      <c r="A15" s="8" t="s">
        <v>11</v>
      </c>
      <c r="B15" s="8"/>
      <c r="C15" s="8"/>
      <c r="D15" s="9">
        <f>C15*347</f>
        <v>0</v>
      </c>
      <c r="E15" s="9">
        <f>$C$2/12</f>
        <v>5875</v>
      </c>
      <c r="F15" s="10">
        <f>$C$3/12</f>
        <v>801.25</v>
      </c>
      <c r="G15" s="11">
        <f>$C$4/12</f>
        <v>0</v>
      </c>
      <c r="H15" s="9">
        <f>$C$5/12</f>
        <v>1938.1666666666667</v>
      </c>
      <c r="I15" s="9">
        <f t="shared" ref="I15:I26" si="0">$C$6/12</f>
        <v>450</v>
      </c>
      <c r="J15" s="9">
        <f>($C$7+$C$8)/12</f>
        <v>12363.833333333334</v>
      </c>
      <c r="K15" s="16">
        <f>$C$9/12</f>
        <v>46788.083333333336</v>
      </c>
      <c r="L15" s="4">
        <f>$C$10/12</f>
        <v>1544.8333333333333</v>
      </c>
      <c r="M15" s="4">
        <f>$C$11/12</f>
        <v>18333.333333333332</v>
      </c>
      <c r="N15" s="4">
        <f>$C$12/12</f>
        <v>4860.916666666667</v>
      </c>
      <c r="O15" s="6">
        <f>$C$13/12</f>
        <v>8116.666666666667</v>
      </c>
    </row>
    <row r="16" spans="1:15" x14ac:dyDescent="0.3">
      <c r="A16" s="8" t="s">
        <v>12</v>
      </c>
      <c r="B16" s="8"/>
      <c r="C16" s="8">
        <v>174</v>
      </c>
      <c r="D16" s="9">
        <f t="shared" ref="D16:D26" si="1">C16*347</f>
        <v>60378</v>
      </c>
      <c r="E16" s="9">
        <f t="shared" ref="E16:E26" si="2">$C$2/12</f>
        <v>5875</v>
      </c>
      <c r="F16" s="10">
        <f t="shared" ref="F16:F26" si="3">$C$3/12</f>
        <v>801.25</v>
      </c>
      <c r="G16" s="11">
        <f t="shared" ref="G16:G26" si="4">$C$4/12</f>
        <v>0</v>
      </c>
      <c r="H16" s="9">
        <f t="shared" ref="H16:H26" si="5">$C$5/12</f>
        <v>1938.1666666666667</v>
      </c>
      <c r="I16" s="9">
        <f t="shared" si="0"/>
        <v>450</v>
      </c>
      <c r="J16" s="9">
        <f t="shared" ref="J16:J26" si="6">($C$7+$C$8)/12</f>
        <v>12363.833333333334</v>
      </c>
      <c r="K16" s="16">
        <f t="shared" ref="K16:K26" si="7">$C$9/12</f>
        <v>46788.083333333336</v>
      </c>
      <c r="L16" s="4">
        <f t="shared" ref="L16:L26" si="8">$C$10/12</f>
        <v>1544.8333333333333</v>
      </c>
      <c r="M16" s="4">
        <f t="shared" ref="M16:M26" si="9">$C$11/12</f>
        <v>18333.333333333332</v>
      </c>
      <c r="N16" s="4">
        <f t="shared" ref="N16:N26" si="10">$C$12/12</f>
        <v>4860.916666666667</v>
      </c>
      <c r="O16" s="6">
        <f t="shared" ref="O16:O25" si="11">$C$13/12</f>
        <v>8116.666666666667</v>
      </c>
    </row>
    <row r="17" spans="1:15" x14ac:dyDescent="0.3">
      <c r="A17" s="8" t="s">
        <v>13</v>
      </c>
      <c r="B17" s="8"/>
      <c r="C17" s="8">
        <v>138</v>
      </c>
      <c r="D17" s="9">
        <f t="shared" si="1"/>
        <v>47886</v>
      </c>
      <c r="E17" s="9">
        <f t="shared" si="2"/>
        <v>5875</v>
      </c>
      <c r="F17" s="10">
        <f t="shared" si="3"/>
        <v>801.25</v>
      </c>
      <c r="G17" s="11">
        <f t="shared" si="4"/>
        <v>0</v>
      </c>
      <c r="H17" s="9">
        <f t="shared" si="5"/>
        <v>1938.1666666666667</v>
      </c>
      <c r="I17" s="9">
        <f t="shared" si="0"/>
        <v>450</v>
      </c>
      <c r="J17" s="9">
        <f t="shared" si="6"/>
        <v>12363.833333333334</v>
      </c>
      <c r="K17" s="16">
        <f t="shared" si="7"/>
        <v>46788.083333333336</v>
      </c>
      <c r="L17" s="4">
        <f t="shared" si="8"/>
        <v>1544.8333333333333</v>
      </c>
      <c r="M17" s="4">
        <f t="shared" si="9"/>
        <v>18333.333333333332</v>
      </c>
      <c r="N17" s="4">
        <f t="shared" si="10"/>
        <v>4860.916666666667</v>
      </c>
      <c r="O17" s="6">
        <f t="shared" si="11"/>
        <v>8116.666666666667</v>
      </c>
    </row>
    <row r="18" spans="1:15" x14ac:dyDescent="0.3">
      <c r="A18" s="8" t="s">
        <v>14</v>
      </c>
      <c r="B18" s="8"/>
      <c r="C18" s="12">
        <v>3</v>
      </c>
      <c r="D18" s="9">
        <f t="shared" si="1"/>
        <v>1041</v>
      </c>
      <c r="E18" s="9">
        <f t="shared" si="2"/>
        <v>5875</v>
      </c>
      <c r="F18" s="10">
        <f t="shared" si="3"/>
        <v>801.25</v>
      </c>
      <c r="G18" s="11">
        <f t="shared" si="4"/>
        <v>0</v>
      </c>
      <c r="H18" s="9">
        <f t="shared" si="5"/>
        <v>1938.1666666666667</v>
      </c>
      <c r="I18" s="9">
        <f t="shared" si="0"/>
        <v>450</v>
      </c>
      <c r="J18" s="9">
        <f t="shared" si="6"/>
        <v>12363.833333333334</v>
      </c>
      <c r="K18" s="16">
        <f t="shared" si="7"/>
        <v>46788.083333333336</v>
      </c>
      <c r="L18" s="4">
        <f t="shared" si="8"/>
        <v>1544.8333333333333</v>
      </c>
      <c r="M18" s="4">
        <f t="shared" si="9"/>
        <v>18333.333333333332</v>
      </c>
      <c r="N18" s="4">
        <f t="shared" si="10"/>
        <v>4860.916666666667</v>
      </c>
      <c r="O18" s="6">
        <f t="shared" si="11"/>
        <v>8116.666666666667</v>
      </c>
    </row>
    <row r="19" spans="1:15" x14ac:dyDescent="0.3">
      <c r="A19" s="8" t="s">
        <v>15</v>
      </c>
      <c r="B19" s="8"/>
      <c r="C19" s="8">
        <v>4</v>
      </c>
      <c r="D19" s="9">
        <f t="shared" si="1"/>
        <v>1388</v>
      </c>
      <c r="E19" s="9">
        <f t="shared" si="2"/>
        <v>5875</v>
      </c>
      <c r="F19" s="10">
        <f t="shared" si="3"/>
        <v>801.25</v>
      </c>
      <c r="G19" s="11">
        <f t="shared" si="4"/>
        <v>0</v>
      </c>
      <c r="H19" s="9">
        <f t="shared" si="5"/>
        <v>1938.1666666666667</v>
      </c>
      <c r="I19" s="9">
        <f t="shared" si="0"/>
        <v>450</v>
      </c>
      <c r="J19" s="9">
        <f t="shared" si="6"/>
        <v>12363.833333333334</v>
      </c>
      <c r="K19" s="16">
        <f t="shared" si="7"/>
        <v>46788.083333333336</v>
      </c>
      <c r="L19" s="4">
        <f t="shared" si="8"/>
        <v>1544.8333333333333</v>
      </c>
      <c r="M19" s="4">
        <f t="shared" si="9"/>
        <v>18333.333333333332</v>
      </c>
      <c r="N19" s="4">
        <f t="shared" si="10"/>
        <v>4860.916666666667</v>
      </c>
      <c r="O19" s="6">
        <f t="shared" si="11"/>
        <v>8116.666666666667</v>
      </c>
    </row>
    <row r="20" spans="1:15" x14ac:dyDescent="0.3">
      <c r="A20" s="8" t="s">
        <v>16</v>
      </c>
      <c r="B20" s="8"/>
      <c r="C20" s="8"/>
      <c r="D20" s="9">
        <f t="shared" si="1"/>
        <v>0</v>
      </c>
      <c r="E20" s="9">
        <f t="shared" si="2"/>
        <v>5875</v>
      </c>
      <c r="F20" s="10">
        <f t="shared" si="3"/>
        <v>801.25</v>
      </c>
      <c r="G20" s="11">
        <f t="shared" si="4"/>
        <v>0</v>
      </c>
      <c r="H20" s="9">
        <f t="shared" si="5"/>
        <v>1938.1666666666667</v>
      </c>
      <c r="I20" s="9">
        <f t="shared" si="0"/>
        <v>450</v>
      </c>
      <c r="J20" s="9">
        <f t="shared" si="6"/>
        <v>12363.833333333334</v>
      </c>
      <c r="K20" s="16">
        <f t="shared" si="7"/>
        <v>46788.083333333336</v>
      </c>
      <c r="L20" s="4">
        <f t="shared" si="8"/>
        <v>1544.8333333333333</v>
      </c>
      <c r="M20" s="4">
        <f t="shared" si="9"/>
        <v>18333.333333333332</v>
      </c>
      <c r="N20" s="4">
        <f t="shared" si="10"/>
        <v>4860.916666666667</v>
      </c>
      <c r="O20" s="6">
        <f t="shared" si="11"/>
        <v>8116.666666666667</v>
      </c>
    </row>
    <row r="21" spans="1:15" x14ac:dyDescent="0.3">
      <c r="A21" s="8" t="s">
        <v>17</v>
      </c>
      <c r="B21" s="8"/>
      <c r="C21" s="8">
        <v>10</v>
      </c>
      <c r="D21" s="9">
        <f t="shared" si="1"/>
        <v>3470</v>
      </c>
      <c r="E21" s="9">
        <f t="shared" si="2"/>
        <v>5875</v>
      </c>
      <c r="F21" s="10">
        <f t="shared" si="3"/>
        <v>801.25</v>
      </c>
      <c r="G21" s="11">
        <f t="shared" si="4"/>
        <v>0</v>
      </c>
      <c r="H21" s="9">
        <f t="shared" si="5"/>
        <v>1938.1666666666667</v>
      </c>
      <c r="I21" s="9">
        <f t="shared" si="0"/>
        <v>450</v>
      </c>
      <c r="J21" s="9">
        <f t="shared" si="6"/>
        <v>12363.833333333334</v>
      </c>
      <c r="K21" s="16">
        <f t="shared" si="7"/>
        <v>46788.083333333336</v>
      </c>
      <c r="L21" s="4">
        <f t="shared" si="8"/>
        <v>1544.8333333333333</v>
      </c>
      <c r="M21" s="4">
        <f t="shared" si="9"/>
        <v>18333.333333333332</v>
      </c>
      <c r="N21" s="4">
        <f t="shared" si="10"/>
        <v>4860.916666666667</v>
      </c>
      <c r="O21" s="6">
        <f t="shared" si="11"/>
        <v>8116.666666666667</v>
      </c>
    </row>
    <row r="22" spans="1:15" x14ac:dyDescent="0.3">
      <c r="A22" s="8" t="s">
        <v>18</v>
      </c>
      <c r="B22" s="8"/>
      <c r="C22" s="8">
        <v>2</v>
      </c>
      <c r="D22" s="9">
        <f t="shared" si="1"/>
        <v>694</v>
      </c>
      <c r="E22" s="9">
        <f t="shared" si="2"/>
        <v>5875</v>
      </c>
      <c r="F22" s="10">
        <f t="shared" si="3"/>
        <v>801.25</v>
      </c>
      <c r="G22" s="11">
        <f t="shared" si="4"/>
        <v>0</v>
      </c>
      <c r="H22" s="9">
        <f t="shared" si="5"/>
        <v>1938.1666666666667</v>
      </c>
      <c r="I22" s="9">
        <f t="shared" si="0"/>
        <v>450</v>
      </c>
      <c r="J22" s="9">
        <f t="shared" si="6"/>
        <v>12363.833333333334</v>
      </c>
      <c r="K22" s="16">
        <f t="shared" si="7"/>
        <v>46788.083333333336</v>
      </c>
      <c r="L22" s="4">
        <f t="shared" si="8"/>
        <v>1544.8333333333333</v>
      </c>
      <c r="M22" s="4">
        <f t="shared" si="9"/>
        <v>18333.333333333332</v>
      </c>
      <c r="N22" s="4">
        <f t="shared" si="10"/>
        <v>4860.916666666667</v>
      </c>
      <c r="O22" s="6">
        <f t="shared" si="11"/>
        <v>8116.666666666667</v>
      </c>
    </row>
    <row r="23" spans="1:15" x14ac:dyDescent="0.3">
      <c r="A23" s="8" t="s">
        <v>19</v>
      </c>
      <c r="B23" s="8"/>
      <c r="C23" s="8">
        <v>79</v>
      </c>
      <c r="D23" s="9">
        <f t="shared" si="1"/>
        <v>27413</v>
      </c>
      <c r="E23" s="9">
        <f t="shared" si="2"/>
        <v>5875</v>
      </c>
      <c r="F23" s="10">
        <f t="shared" si="3"/>
        <v>801.25</v>
      </c>
      <c r="G23" s="11">
        <f t="shared" si="4"/>
        <v>0</v>
      </c>
      <c r="H23" s="9">
        <f t="shared" si="5"/>
        <v>1938.1666666666667</v>
      </c>
      <c r="I23" s="9">
        <f t="shared" si="0"/>
        <v>450</v>
      </c>
      <c r="J23" s="9">
        <f t="shared" si="6"/>
        <v>12363.833333333334</v>
      </c>
      <c r="K23" s="16">
        <f t="shared" si="7"/>
        <v>46788.083333333336</v>
      </c>
      <c r="L23" s="4">
        <f t="shared" si="8"/>
        <v>1544.8333333333333</v>
      </c>
      <c r="M23" s="4">
        <f t="shared" si="9"/>
        <v>18333.333333333332</v>
      </c>
      <c r="N23" s="4">
        <f t="shared" si="10"/>
        <v>4860.916666666667</v>
      </c>
      <c r="O23" s="6">
        <f t="shared" si="11"/>
        <v>8116.666666666667</v>
      </c>
    </row>
    <row r="24" spans="1:15" x14ac:dyDescent="0.3">
      <c r="A24" s="8" t="s">
        <v>20</v>
      </c>
      <c r="B24" s="8"/>
      <c r="C24" s="8">
        <v>2</v>
      </c>
      <c r="D24" s="9">
        <f t="shared" si="1"/>
        <v>694</v>
      </c>
      <c r="E24" s="9">
        <f t="shared" si="2"/>
        <v>5875</v>
      </c>
      <c r="F24" s="10">
        <f t="shared" si="3"/>
        <v>801.25</v>
      </c>
      <c r="G24" s="11">
        <f t="shared" si="4"/>
        <v>0</v>
      </c>
      <c r="H24" s="9">
        <f t="shared" si="5"/>
        <v>1938.1666666666667</v>
      </c>
      <c r="I24" s="9">
        <f t="shared" si="0"/>
        <v>450</v>
      </c>
      <c r="J24" s="9">
        <f t="shared" si="6"/>
        <v>12363.833333333334</v>
      </c>
      <c r="K24" s="16">
        <f t="shared" si="7"/>
        <v>46788.083333333336</v>
      </c>
      <c r="L24" s="4">
        <f t="shared" si="8"/>
        <v>1544.8333333333333</v>
      </c>
      <c r="M24" s="4">
        <f t="shared" si="9"/>
        <v>18333.333333333332</v>
      </c>
      <c r="N24" s="4">
        <f t="shared" si="10"/>
        <v>4860.916666666667</v>
      </c>
      <c r="O24" s="6">
        <f t="shared" si="11"/>
        <v>8116.666666666667</v>
      </c>
    </row>
    <row r="25" spans="1:15" x14ac:dyDescent="0.3">
      <c r="A25" s="8" t="s">
        <v>21</v>
      </c>
      <c r="B25" s="8"/>
      <c r="C25" s="8">
        <v>89</v>
      </c>
      <c r="D25" s="9">
        <f t="shared" si="1"/>
        <v>30883</v>
      </c>
      <c r="E25" s="9">
        <f t="shared" si="2"/>
        <v>5875</v>
      </c>
      <c r="F25" s="10">
        <f t="shared" si="3"/>
        <v>801.25</v>
      </c>
      <c r="G25" s="11">
        <f t="shared" si="4"/>
        <v>0</v>
      </c>
      <c r="H25" s="9">
        <f t="shared" si="5"/>
        <v>1938.1666666666667</v>
      </c>
      <c r="I25" s="9">
        <f t="shared" si="0"/>
        <v>450</v>
      </c>
      <c r="J25" s="9">
        <f t="shared" si="6"/>
        <v>12363.833333333334</v>
      </c>
      <c r="K25" s="16">
        <f t="shared" si="7"/>
        <v>46788.083333333336</v>
      </c>
      <c r="L25" s="4">
        <f t="shared" si="8"/>
        <v>1544.8333333333333</v>
      </c>
      <c r="M25" s="4">
        <f t="shared" si="9"/>
        <v>18333.333333333332</v>
      </c>
      <c r="N25" s="4">
        <f t="shared" si="10"/>
        <v>4860.916666666667</v>
      </c>
      <c r="O25" s="6">
        <f t="shared" si="11"/>
        <v>8116.666666666667</v>
      </c>
    </row>
    <row r="26" spans="1:15" x14ac:dyDescent="0.3">
      <c r="A26" s="8" t="s">
        <v>22</v>
      </c>
      <c r="B26" s="8"/>
      <c r="C26" s="8"/>
      <c r="D26" s="9">
        <f t="shared" si="1"/>
        <v>0</v>
      </c>
      <c r="E26" s="9">
        <f t="shared" si="2"/>
        <v>5875</v>
      </c>
      <c r="F26" s="10">
        <f t="shared" si="3"/>
        <v>801.25</v>
      </c>
      <c r="G26" s="11">
        <f t="shared" si="4"/>
        <v>0</v>
      </c>
      <c r="H26" s="9">
        <f t="shared" si="5"/>
        <v>1938.1666666666667</v>
      </c>
      <c r="I26" s="9">
        <f t="shared" si="0"/>
        <v>450</v>
      </c>
      <c r="J26" s="9">
        <f t="shared" si="6"/>
        <v>12363.833333333334</v>
      </c>
      <c r="K26" s="16">
        <f t="shared" si="7"/>
        <v>46788.083333333336</v>
      </c>
      <c r="L26" s="4">
        <f t="shared" si="8"/>
        <v>1544.8333333333333</v>
      </c>
      <c r="M26" s="4">
        <f t="shared" si="9"/>
        <v>18333.333333333332</v>
      </c>
      <c r="N26" s="4">
        <f t="shared" si="10"/>
        <v>4860.916666666667</v>
      </c>
      <c r="O26" s="6">
        <f>$C$13/12</f>
        <v>8116.666666666667</v>
      </c>
    </row>
    <row r="27" spans="1:15" x14ac:dyDescent="0.3">
      <c r="D27" s="2"/>
      <c r="E27" s="2"/>
      <c r="F27" s="2"/>
      <c r="G27" s="2"/>
      <c r="H27" s="2"/>
      <c r="I27" s="2"/>
      <c r="J27" s="2"/>
      <c r="K27" s="2"/>
      <c r="L27" s="2"/>
      <c r="M27" s="2"/>
    </row>
    <row r="29" spans="1:15" x14ac:dyDescent="0.3">
      <c r="A29" s="18"/>
      <c r="B29" s="19"/>
    </row>
    <row r="30" spans="1:15" x14ac:dyDescent="0.3">
      <c r="A30" s="18"/>
      <c r="B30" s="19"/>
    </row>
    <row r="31" spans="1:15" x14ac:dyDescent="0.3">
      <c r="A31" s="18"/>
      <c r="B31" s="19"/>
    </row>
    <row r="32" spans="1:15" x14ac:dyDescent="0.3">
      <c r="A32" s="18"/>
      <c r="B32" s="19"/>
    </row>
    <row r="33" spans="1:2" x14ac:dyDescent="0.3">
      <c r="A33" s="18"/>
      <c r="B33" s="19"/>
    </row>
    <row r="34" spans="1:2" x14ac:dyDescent="0.3">
      <c r="A34" s="18"/>
      <c r="B34" s="19"/>
    </row>
    <row r="35" spans="1:2" x14ac:dyDescent="0.3">
      <c r="A35" s="18"/>
      <c r="B35" s="19"/>
    </row>
    <row r="36" spans="1:2" x14ac:dyDescent="0.3">
      <c r="A36" s="18"/>
      <c r="B36" s="19"/>
    </row>
    <row r="37" spans="1:2" x14ac:dyDescent="0.3">
      <c r="A37" s="18"/>
      <c r="B37" s="19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1FEA7-1571-4A9A-802B-43FC379BF9D9}">
  <dimension ref="A1:O37"/>
  <sheetViews>
    <sheetView topLeftCell="B1" zoomScale="81" zoomScaleNormal="81" workbookViewId="0">
      <selection activeCell="D15" sqref="D15:O26"/>
    </sheetView>
  </sheetViews>
  <sheetFormatPr defaultRowHeight="14.4" x14ac:dyDescent="0.3"/>
  <cols>
    <col min="1" max="1" width="29" bestFit="1" customWidth="1"/>
    <col min="2" max="2" width="16.109375" bestFit="1" customWidth="1"/>
    <col min="3" max="3" width="16.77734375" bestFit="1" customWidth="1"/>
    <col min="4" max="4" width="15.6640625" bestFit="1" customWidth="1"/>
    <col min="5" max="5" width="14.6640625" bestFit="1" customWidth="1"/>
    <col min="6" max="6" width="21.5546875" bestFit="1" customWidth="1"/>
    <col min="7" max="7" width="20" bestFit="1" customWidth="1"/>
    <col min="8" max="8" width="13.5546875" bestFit="1" customWidth="1"/>
    <col min="9" max="9" width="11.88671875" customWidth="1"/>
    <col min="10" max="10" width="13.44140625" bestFit="1" customWidth="1"/>
    <col min="11" max="11" width="11.77734375" customWidth="1"/>
    <col min="12" max="12" width="16.77734375" bestFit="1" customWidth="1"/>
    <col min="13" max="13" width="17.6640625" bestFit="1" customWidth="1"/>
    <col min="14" max="14" width="22.33203125" bestFit="1" customWidth="1"/>
    <col min="15" max="15" width="18.88671875" bestFit="1" customWidth="1"/>
  </cols>
  <sheetData>
    <row r="1" spans="1:15" x14ac:dyDescent="0.3">
      <c r="A1" s="3" t="s">
        <v>1</v>
      </c>
      <c r="B1" s="3" t="s">
        <v>2</v>
      </c>
      <c r="C1" s="3" t="s">
        <v>35</v>
      </c>
      <c r="D1" s="7" t="s">
        <v>36</v>
      </c>
      <c r="E1" s="4">
        <v>65733</v>
      </c>
      <c r="G1" s="7" t="s">
        <v>0</v>
      </c>
      <c r="H1" s="6">
        <v>123734</v>
      </c>
      <c r="J1" s="2">
        <f>SUM(C2:C12)+E1+H1+C13</f>
        <v>1600329</v>
      </c>
    </row>
    <row r="2" spans="1:15" x14ac:dyDescent="0.3">
      <c r="A2" t="s">
        <v>3</v>
      </c>
      <c r="C2" s="1">
        <v>142820</v>
      </c>
      <c r="D2" s="6" t="s">
        <v>28</v>
      </c>
      <c r="E2" s="6">
        <f>B16+B17+B21+B22+B24+B25</f>
        <v>0</v>
      </c>
      <c r="G2" s="6" t="s">
        <v>28</v>
      </c>
      <c r="H2" s="6"/>
    </row>
    <row r="3" spans="1:15" x14ac:dyDescent="0.3">
      <c r="A3" t="s">
        <v>52</v>
      </c>
      <c r="C3" s="2">
        <v>0</v>
      </c>
      <c r="D3" s="6" t="s">
        <v>29</v>
      </c>
      <c r="E3" s="4" t="e">
        <f>E1/E2</f>
        <v>#DIV/0!</v>
      </c>
      <c r="G3" s="6" t="s">
        <v>31</v>
      </c>
      <c r="H3" s="4" t="e">
        <f>H1/H2</f>
        <v>#DIV/0!</v>
      </c>
    </row>
    <row r="4" spans="1:15" x14ac:dyDescent="0.3">
      <c r="A4" t="s">
        <v>6</v>
      </c>
      <c r="B4" s="1"/>
      <c r="C4" s="2">
        <v>26659</v>
      </c>
    </row>
    <row r="5" spans="1:15" x14ac:dyDescent="0.3">
      <c r="A5" t="s">
        <v>5</v>
      </c>
      <c r="B5" s="1"/>
      <c r="C5" s="2">
        <v>455249</v>
      </c>
      <c r="E5" s="2"/>
    </row>
    <row r="6" spans="1:15" x14ac:dyDescent="0.3">
      <c r="A6" t="s">
        <v>42</v>
      </c>
      <c r="C6" s="2">
        <v>10800</v>
      </c>
      <c r="D6" s="2"/>
      <c r="E6" s="2"/>
    </row>
    <row r="7" spans="1:15" x14ac:dyDescent="0.3">
      <c r="A7" t="s">
        <v>7</v>
      </c>
      <c r="C7" s="2">
        <v>21406</v>
      </c>
      <c r="E7" t="s">
        <v>53</v>
      </c>
      <c r="F7" s="2">
        <f>E1+H1</f>
        <v>189467</v>
      </c>
    </row>
    <row r="8" spans="1:15" x14ac:dyDescent="0.3">
      <c r="A8" t="s">
        <v>47</v>
      </c>
      <c r="C8" s="1">
        <v>25631</v>
      </c>
      <c r="E8" t="s">
        <v>54</v>
      </c>
      <c r="F8">
        <f>SUM(C14:C25)</f>
        <v>528</v>
      </c>
    </row>
    <row r="9" spans="1:15" x14ac:dyDescent="0.3">
      <c r="A9" t="s">
        <v>10</v>
      </c>
      <c r="C9" s="2">
        <f>539395+24125</f>
        <v>563520</v>
      </c>
      <c r="D9" s="2"/>
      <c r="E9" t="s">
        <v>55</v>
      </c>
      <c r="F9" s="2">
        <f>F7/F8</f>
        <v>358.83901515151513</v>
      </c>
    </row>
    <row r="10" spans="1:15" x14ac:dyDescent="0.3">
      <c r="A10" t="s">
        <v>45</v>
      </c>
      <c r="C10" s="1">
        <v>0</v>
      </c>
    </row>
    <row r="11" spans="1:15" x14ac:dyDescent="0.3">
      <c r="A11" t="s">
        <v>46</v>
      </c>
      <c r="C11" s="2">
        <v>91160</v>
      </c>
    </row>
    <row r="12" spans="1:15" x14ac:dyDescent="0.3">
      <c r="A12" t="s">
        <v>49</v>
      </c>
      <c r="C12" s="2">
        <v>70617</v>
      </c>
    </row>
    <row r="13" spans="1:15" x14ac:dyDescent="0.3">
      <c r="A13" t="s">
        <v>48</v>
      </c>
      <c r="C13" s="2">
        <v>3000</v>
      </c>
    </row>
    <row r="14" spans="1:15" x14ac:dyDescent="0.3">
      <c r="A14" s="13" t="s">
        <v>33</v>
      </c>
      <c r="B14" s="13" t="s">
        <v>23</v>
      </c>
      <c r="C14" s="13" t="s">
        <v>25</v>
      </c>
      <c r="D14" s="13" t="s">
        <v>30</v>
      </c>
      <c r="E14" s="13" t="s">
        <v>34</v>
      </c>
      <c r="F14" s="14" t="s">
        <v>37</v>
      </c>
      <c r="G14" s="14" t="s">
        <v>6</v>
      </c>
      <c r="H14" s="13" t="s">
        <v>38</v>
      </c>
      <c r="I14" s="13" t="s">
        <v>39</v>
      </c>
      <c r="J14" s="13" t="s">
        <v>40</v>
      </c>
      <c r="K14" s="15" t="s">
        <v>41</v>
      </c>
      <c r="L14" s="17" t="s">
        <v>45</v>
      </c>
      <c r="M14" s="13" t="s">
        <v>46</v>
      </c>
      <c r="N14" s="13" t="s">
        <v>50</v>
      </c>
      <c r="O14" s="13" t="s">
        <v>51</v>
      </c>
    </row>
    <row r="15" spans="1:15" x14ac:dyDescent="0.3">
      <c r="A15" s="8" t="s">
        <v>11</v>
      </c>
      <c r="B15" s="8"/>
      <c r="C15" s="8">
        <v>103</v>
      </c>
      <c r="D15" s="9">
        <f>C15*359</f>
        <v>36977</v>
      </c>
      <c r="E15" s="9">
        <f>$C$2/12</f>
        <v>11901.666666666666</v>
      </c>
      <c r="F15" s="10">
        <f>$C$3/12</f>
        <v>0</v>
      </c>
      <c r="G15" s="11">
        <f>$C$4/12</f>
        <v>2221.5833333333335</v>
      </c>
      <c r="H15" s="9">
        <f>$C$5/12</f>
        <v>37937.416666666664</v>
      </c>
      <c r="I15" s="9">
        <f t="shared" ref="I15:I26" si="0">$C$6/12</f>
        <v>900</v>
      </c>
      <c r="J15" s="9">
        <f>($C$7+$C$8)/12</f>
        <v>3919.75</v>
      </c>
      <c r="K15" s="16">
        <f>$C$9/12</f>
        <v>46960</v>
      </c>
      <c r="L15" s="4">
        <f>$C$10/12</f>
        <v>0</v>
      </c>
      <c r="M15" s="4">
        <f>$C$11/12</f>
        <v>7596.666666666667</v>
      </c>
      <c r="N15" s="4">
        <f>$C$12/12</f>
        <v>5884.75</v>
      </c>
      <c r="O15" s="6">
        <f>$C$13/12</f>
        <v>250</v>
      </c>
    </row>
    <row r="16" spans="1:15" x14ac:dyDescent="0.3">
      <c r="A16" s="8" t="s">
        <v>12</v>
      </c>
      <c r="B16" s="8"/>
      <c r="C16" s="8">
        <v>15</v>
      </c>
      <c r="D16" s="9">
        <f t="shared" ref="D16:D26" si="1">C16*359</f>
        <v>5385</v>
      </c>
      <c r="E16" s="9">
        <f t="shared" ref="E16:E26" si="2">$C$2/12</f>
        <v>11901.666666666666</v>
      </c>
      <c r="F16" s="10">
        <f t="shared" ref="F16:F26" si="3">$C$3/12</f>
        <v>0</v>
      </c>
      <c r="G16" s="11">
        <f t="shared" ref="G16:G26" si="4">$C$4/12</f>
        <v>2221.5833333333335</v>
      </c>
      <c r="H16" s="9">
        <f t="shared" ref="H16:H26" si="5">$C$5/12</f>
        <v>37937.416666666664</v>
      </c>
      <c r="I16" s="9">
        <f t="shared" si="0"/>
        <v>900</v>
      </c>
      <c r="J16" s="9">
        <f t="shared" ref="J16:J26" si="6">($C$7+$C$8)/12</f>
        <v>3919.75</v>
      </c>
      <c r="K16" s="16">
        <f t="shared" ref="K16:K26" si="7">$C$9/12</f>
        <v>46960</v>
      </c>
      <c r="L16" s="4">
        <f t="shared" ref="L16:L26" si="8">$C$10/12</f>
        <v>0</v>
      </c>
      <c r="M16" s="4">
        <f t="shared" ref="M16:M26" si="9">$C$11/12</f>
        <v>7596.666666666667</v>
      </c>
      <c r="N16" s="4">
        <f t="shared" ref="N16:N26" si="10">$C$12/12</f>
        <v>5884.75</v>
      </c>
      <c r="O16" s="6">
        <f t="shared" ref="O16:O25" si="11">$C$13/12</f>
        <v>250</v>
      </c>
    </row>
    <row r="17" spans="1:15" x14ac:dyDescent="0.3">
      <c r="A17" s="8" t="s">
        <v>13</v>
      </c>
      <c r="B17" s="8"/>
      <c r="C17" s="8">
        <v>141</v>
      </c>
      <c r="D17" s="9">
        <f t="shared" si="1"/>
        <v>50619</v>
      </c>
      <c r="E17" s="9">
        <f t="shared" si="2"/>
        <v>11901.666666666666</v>
      </c>
      <c r="F17" s="10">
        <f t="shared" si="3"/>
        <v>0</v>
      </c>
      <c r="G17" s="11">
        <f t="shared" si="4"/>
        <v>2221.5833333333335</v>
      </c>
      <c r="H17" s="9">
        <f t="shared" si="5"/>
        <v>37937.416666666664</v>
      </c>
      <c r="I17" s="9">
        <f t="shared" si="0"/>
        <v>900</v>
      </c>
      <c r="J17" s="9">
        <f t="shared" si="6"/>
        <v>3919.75</v>
      </c>
      <c r="K17" s="16">
        <f t="shared" si="7"/>
        <v>46960</v>
      </c>
      <c r="L17" s="4">
        <f t="shared" si="8"/>
        <v>0</v>
      </c>
      <c r="M17" s="4">
        <f t="shared" si="9"/>
        <v>7596.666666666667</v>
      </c>
      <c r="N17" s="4">
        <f t="shared" si="10"/>
        <v>5884.75</v>
      </c>
      <c r="O17" s="6">
        <f t="shared" si="11"/>
        <v>250</v>
      </c>
    </row>
    <row r="18" spans="1:15" x14ac:dyDescent="0.3">
      <c r="A18" s="8" t="s">
        <v>14</v>
      </c>
      <c r="B18" s="8"/>
      <c r="C18" s="12">
        <v>5</v>
      </c>
      <c r="D18" s="9">
        <f t="shared" si="1"/>
        <v>1795</v>
      </c>
      <c r="E18" s="9">
        <f t="shared" si="2"/>
        <v>11901.666666666666</v>
      </c>
      <c r="F18" s="10">
        <f t="shared" si="3"/>
        <v>0</v>
      </c>
      <c r="G18" s="11">
        <f t="shared" si="4"/>
        <v>2221.5833333333335</v>
      </c>
      <c r="H18" s="9">
        <f t="shared" si="5"/>
        <v>37937.416666666664</v>
      </c>
      <c r="I18" s="9">
        <f t="shared" si="0"/>
        <v>900</v>
      </c>
      <c r="J18" s="9">
        <f t="shared" si="6"/>
        <v>3919.75</v>
      </c>
      <c r="K18" s="16">
        <f t="shared" si="7"/>
        <v>46960</v>
      </c>
      <c r="L18" s="4">
        <f t="shared" si="8"/>
        <v>0</v>
      </c>
      <c r="M18" s="4">
        <f t="shared" si="9"/>
        <v>7596.666666666667</v>
      </c>
      <c r="N18" s="4">
        <f t="shared" si="10"/>
        <v>5884.75</v>
      </c>
      <c r="O18" s="6">
        <f t="shared" si="11"/>
        <v>250</v>
      </c>
    </row>
    <row r="19" spans="1:15" x14ac:dyDescent="0.3">
      <c r="A19" s="8" t="s">
        <v>15</v>
      </c>
      <c r="B19" s="8"/>
      <c r="C19" s="8">
        <v>5</v>
      </c>
      <c r="D19" s="9">
        <f t="shared" si="1"/>
        <v>1795</v>
      </c>
      <c r="E19" s="9">
        <f t="shared" si="2"/>
        <v>11901.666666666666</v>
      </c>
      <c r="F19" s="10">
        <f t="shared" si="3"/>
        <v>0</v>
      </c>
      <c r="G19" s="11">
        <f t="shared" si="4"/>
        <v>2221.5833333333335</v>
      </c>
      <c r="H19" s="9">
        <f t="shared" si="5"/>
        <v>37937.416666666664</v>
      </c>
      <c r="I19" s="9">
        <f t="shared" si="0"/>
        <v>900</v>
      </c>
      <c r="J19" s="9">
        <f t="shared" si="6"/>
        <v>3919.75</v>
      </c>
      <c r="K19" s="16">
        <f t="shared" si="7"/>
        <v>46960</v>
      </c>
      <c r="L19" s="4">
        <f t="shared" si="8"/>
        <v>0</v>
      </c>
      <c r="M19" s="4">
        <f t="shared" si="9"/>
        <v>7596.666666666667</v>
      </c>
      <c r="N19" s="4">
        <f t="shared" si="10"/>
        <v>5884.75</v>
      </c>
      <c r="O19" s="6">
        <f t="shared" si="11"/>
        <v>250</v>
      </c>
    </row>
    <row r="20" spans="1:15" x14ac:dyDescent="0.3">
      <c r="A20" s="8" t="s">
        <v>16</v>
      </c>
      <c r="B20" s="8"/>
      <c r="C20" s="8"/>
      <c r="D20" s="9">
        <f t="shared" si="1"/>
        <v>0</v>
      </c>
      <c r="E20" s="9">
        <f t="shared" si="2"/>
        <v>11901.666666666666</v>
      </c>
      <c r="F20" s="10">
        <f t="shared" si="3"/>
        <v>0</v>
      </c>
      <c r="G20" s="11">
        <f t="shared" si="4"/>
        <v>2221.5833333333335</v>
      </c>
      <c r="H20" s="9">
        <f t="shared" si="5"/>
        <v>37937.416666666664</v>
      </c>
      <c r="I20" s="9">
        <f t="shared" si="0"/>
        <v>900</v>
      </c>
      <c r="J20" s="9">
        <f t="shared" si="6"/>
        <v>3919.75</v>
      </c>
      <c r="K20" s="16">
        <f t="shared" si="7"/>
        <v>46960</v>
      </c>
      <c r="L20" s="4">
        <f t="shared" si="8"/>
        <v>0</v>
      </c>
      <c r="M20" s="4">
        <f t="shared" si="9"/>
        <v>7596.666666666667</v>
      </c>
      <c r="N20" s="4">
        <f t="shared" si="10"/>
        <v>5884.75</v>
      </c>
      <c r="O20" s="6">
        <f t="shared" si="11"/>
        <v>250</v>
      </c>
    </row>
    <row r="21" spans="1:15" x14ac:dyDescent="0.3">
      <c r="A21" s="8" t="s">
        <v>17</v>
      </c>
      <c r="B21" s="8"/>
      <c r="C21" s="8">
        <v>4</v>
      </c>
      <c r="D21" s="9">
        <f t="shared" si="1"/>
        <v>1436</v>
      </c>
      <c r="E21" s="9">
        <f t="shared" si="2"/>
        <v>11901.666666666666</v>
      </c>
      <c r="F21" s="10">
        <f t="shared" si="3"/>
        <v>0</v>
      </c>
      <c r="G21" s="11">
        <f t="shared" si="4"/>
        <v>2221.5833333333335</v>
      </c>
      <c r="H21" s="9">
        <f t="shared" si="5"/>
        <v>37937.416666666664</v>
      </c>
      <c r="I21" s="9">
        <f t="shared" si="0"/>
        <v>900</v>
      </c>
      <c r="J21" s="9">
        <f t="shared" si="6"/>
        <v>3919.75</v>
      </c>
      <c r="K21" s="16">
        <f t="shared" si="7"/>
        <v>46960</v>
      </c>
      <c r="L21" s="4">
        <f t="shared" si="8"/>
        <v>0</v>
      </c>
      <c r="M21" s="4">
        <f t="shared" si="9"/>
        <v>7596.666666666667</v>
      </c>
      <c r="N21" s="4">
        <f t="shared" si="10"/>
        <v>5884.75</v>
      </c>
      <c r="O21" s="6">
        <f t="shared" si="11"/>
        <v>250</v>
      </c>
    </row>
    <row r="22" spans="1:15" x14ac:dyDescent="0.3">
      <c r="A22" s="8" t="s">
        <v>18</v>
      </c>
      <c r="B22" s="8"/>
      <c r="C22" s="8"/>
      <c r="D22" s="9">
        <f t="shared" si="1"/>
        <v>0</v>
      </c>
      <c r="E22" s="9">
        <f t="shared" si="2"/>
        <v>11901.666666666666</v>
      </c>
      <c r="F22" s="10">
        <f t="shared" si="3"/>
        <v>0</v>
      </c>
      <c r="G22" s="11">
        <f t="shared" si="4"/>
        <v>2221.5833333333335</v>
      </c>
      <c r="H22" s="9">
        <f t="shared" si="5"/>
        <v>37937.416666666664</v>
      </c>
      <c r="I22" s="9">
        <f t="shared" si="0"/>
        <v>900</v>
      </c>
      <c r="J22" s="9">
        <f t="shared" si="6"/>
        <v>3919.75</v>
      </c>
      <c r="K22" s="16">
        <f t="shared" si="7"/>
        <v>46960</v>
      </c>
      <c r="L22" s="4">
        <f t="shared" si="8"/>
        <v>0</v>
      </c>
      <c r="M22" s="4">
        <f t="shared" si="9"/>
        <v>7596.666666666667</v>
      </c>
      <c r="N22" s="4">
        <f t="shared" si="10"/>
        <v>5884.75</v>
      </c>
      <c r="O22" s="6">
        <f t="shared" si="11"/>
        <v>250</v>
      </c>
    </row>
    <row r="23" spans="1:15" x14ac:dyDescent="0.3">
      <c r="A23" s="8" t="s">
        <v>19</v>
      </c>
      <c r="B23" s="8"/>
      <c r="C23" s="8">
        <v>130</v>
      </c>
      <c r="D23" s="9">
        <f t="shared" si="1"/>
        <v>46670</v>
      </c>
      <c r="E23" s="9">
        <f t="shared" si="2"/>
        <v>11901.666666666666</v>
      </c>
      <c r="F23" s="10">
        <f t="shared" si="3"/>
        <v>0</v>
      </c>
      <c r="G23" s="11">
        <f t="shared" si="4"/>
        <v>2221.5833333333335</v>
      </c>
      <c r="H23" s="9">
        <f t="shared" si="5"/>
        <v>37937.416666666664</v>
      </c>
      <c r="I23" s="9">
        <f t="shared" si="0"/>
        <v>900</v>
      </c>
      <c r="J23" s="9">
        <f t="shared" si="6"/>
        <v>3919.75</v>
      </c>
      <c r="K23" s="16">
        <f t="shared" si="7"/>
        <v>46960</v>
      </c>
      <c r="L23" s="4">
        <f t="shared" si="8"/>
        <v>0</v>
      </c>
      <c r="M23" s="4">
        <f t="shared" si="9"/>
        <v>7596.666666666667</v>
      </c>
      <c r="N23" s="4">
        <f t="shared" si="10"/>
        <v>5884.75</v>
      </c>
      <c r="O23" s="6">
        <f t="shared" si="11"/>
        <v>250</v>
      </c>
    </row>
    <row r="24" spans="1:15" x14ac:dyDescent="0.3">
      <c r="A24" s="8" t="s">
        <v>20</v>
      </c>
      <c r="B24" s="8"/>
      <c r="C24" s="8">
        <v>4</v>
      </c>
      <c r="D24" s="9">
        <f t="shared" si="1"/>
        <v>1436</v>
      </c>
      <c r="E24" s="9">
        <f t="shared" si="2"/>
        <v>11901.666666666666</v>
      </c>
      <c r="F24" s="10">
        <f t="shared" si="3"/>
        <v>0</v>
      </c>
      <c r="G24" s="11">
        <f t="shared" si="4"/>
        <v>2221.5833333333335</v>
      </c>
      <c r="H24" s="9">
        <f t="shared" si="5"/>
        <v>37937.416666666664</v>
      </c>
      <c r="I24" s="9">
        <f t="shared" si="0"/>
        <v>900</v>
      </c>
      <c r="J24" s="9">
        <f t="shared" si="6"/>
        <v>3919.75</v>
      </c>
      <c r="K24" s="16">
        <f t="shared" si="7"/>
        <v>46960</v>
      </c>
      <c r="L24" s="4">
        <f t="shared" si="8"/>
        <v>0</v>
      </c>
      <c r="M24" s="4">
        <f t="shared" si="9"/>
        <v>7596.666666666667</v>
      </c>
      <c r="N24" s="4">
        <f t="shared" si="10"/>
        <v>5884.75</v>
      </c>
      <c r="O24" s="6">
        <f t="shared" si="11"/>
        <v>250</v>
      </c>
    </row>
    <row r="25" spans="1:15" x14ac:dyDescent="0.3">
      <c r="A25" s="8" t="s">
        <v>21</v>
      </c>
      <c r="B25" s="8"/>
      <c r="C25" s="8">
        <v>121</v>
      </c>
      <c r="D25" s="9">
        <f t="shared" si="1"/>
        <v>43439</v>
      </c>
      <c r="E25" s="9">
        <f t="shared" si="2"/>
        <v>11901.666666666666</v>
      </c>
      <c r="F25" s="10">
        <f t="shared" si="3"/>
        <v>0</v>
      </c>
      <c r="G25" s="11">
        <f t="shared" si="4"/>
        <v>2221.5833333333335</v>
      </c>
      <c r="H25" s="9">
        <f t="shared" si="5"/>
        <v>37937.416666666664</v>
      </c>
      <c r="I25" s="9">
        <f t="shared" si="0"/>
        <v>900</v>
      </c>
      <c r="J25" s="9">
        <f t="shared" si="6"/>
        <v>3919.75</v>
      </c>
      <c r="K25" s="16">
        <f t="shared" si="7"/>
        <v>46960</v>
      </c>
      <c r="L25" s="4">
        <f t="shared" si="8"/>
        <v>0</v>
      </c>
      <c r="M25" s="4">
        <f t="shared" si="9"/>
        <v>7596.666666666667</v>
      </c>
      <c r="N25" s="4">
        <f t="shared" si="10"/>
        <v>5884.75</v>
      </c>
      <c r="O25" s="6">
        <f t="shared" si="11"/>
        <v>250</v>
      </c>
    </row>
    <row r="26" spans="1:15" x14ac:dyDescent="0.3">
      <c r="A26" s="8" t="s">
        <v>22</v>
      </c>
      <c r="B26" s="8"/>
      <c r="C26" s="8"/>
      <c r="D26" s="9">
        <f t="shared" si="1"/>
        <v>0</v>
      </c>
      <c r="E26" s="9">
        <f t="shared" si="2"/>
        <v>11901.666666666666</v>
      </c>
      <c r="F26" s="10">
        <f t="shared" si="3"/>
        <v>0</v>
      </c>
      <c r="G26" s="11">
        <f t="shared" si="4"/>
        <v>2221.5833333333335</v>
      </c>
      <c r="H26" s="9">
        <f t="shared" si="5"/>
        <v>37937.416666666664</v>
      </c>
      <c r="I26" s="9">
        <f t="shared" si="0"/>
        <v>900</v>
      </c>
      <c r="J26" s="9">
        <f t="shared" si="6"/>
        <v>3919.75</v>
      </c>
      <c r="K26" s="16">
        <f t="shared" si="7"/>
        <v>46960</v>
      </c>
      <c r="L26" s="4">
        <f t="shared" si="8"/>
        <v>0</v>
      </c>
      <c r="M26" s="4">
        <f t="shared" si="9"/>
        <v>7596.666666666667</v>
      </c>
      <c r="N26" s="4">
        <f t="shared" si="10"/>
        <v>5884.75</v>
      </c>
      <c r="O26" s="6">
        <f>$C$13/12</f>
        <v>250</v>
      </c>
    </row>
    <row r="27" spans="1:15" x14ac:dyDescent="0.3">
      <c r="D27" s="2"/>
      <c r="E27" s="2"/>
      <c r="F27" s="2"/>
      <c r="G27" s="2"/>
      <c r="H27" s="2"/>
      <c r="I27" s="2"/>
      <c r="J27" s="2"/>
      <c r="K27" s="2"/>
      <c r="L27" s="2"/>
      <c r="M27" s="2"/>
    </row>
    <row r="29" spans="1:15" x14ac:dyDescent="0.3">
      <c r="A29" s="18"/>
      <c r="B29" s="19"/>
    </row>
    <row r="30" spans="1:15" x14ac:dyDescent="0.3">
      <c r="A30" s="18"/>
      <c r="B30" s="19"/>
    </row>
    <row r="31" spans="1:15" x14ac:dyDescent="0.3">
      <c r="A31" s="18"/>
      <c r="B31" s="19"/>
    </row>
    <row r="32" spans="1:15" x14ac:dyDescent="0.3">
      <c r="A32" s="18"/>
      <c r="B32" s="19"/>
    </row>
    <row r="33" spans="1:2" x14ac:dyDescent="0.3">
      <c r="A33" s="18"/>
      <c r="B33" s="19"/>
    </row>
    <row r="34" spans="1:2" x14ac:dyDescent="0.3">
      <c r="A34" s="18"/>
      <c r="B34" s="19"/>
    </row>
    <row r="35" spans="1:2" x14ac:dyDescent="0.3">
      <c r="A35" s="18"/>
      <c r="B35" s="19"/>
    </row>
    <row r="36" spans="1:2" x14ac:dyDescent="0.3">
      <c r="A36" s="18"/>
      <c r="B36" s="19"/>
    </row>
    <row r="37" spans="1:2" x14ac:dyDescent="0.3">
      <c r="A37" s="18"/>
      <c r="B37" s="19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249EA-8789-4201-BAEE-B62E2A4EED57}">
  <dimension ref="A1:O37"/>
  <sheetViews>
    <sheetView topLeftCell="A7" zoomScale="79" zoomScaleNormal="79" workbookViewId="0">
      <selection activeCell="A15" sqref="A15:A26"/>
    </sheetView>
  </sheetViews>
  <sheetFormatPr defaultRowHeight="14.4" x14ac:dyDescent="0.3"/>
  <cols>
    <col min="1" max="1" width="29" bestFit="1" customWidth="1"/>
    <col min="2" max="2" width="16.109375" bestFit="1" customWidth="1"/>
    <col min="3" max="3" width="16.77734375" bestFit="1" customWidth="1"/>
    <col min="4" max="4" width="15.6640625" bestFit="1" customWidth="1"/>
    <col min="5" max="5" width="23.44140625" bestFit="1" customWidth="1"/>
    <col min="6" max="6" width="21.5546875" bestFit="1" customWidth="1"/>
    <col min="7" max="7" width="20" bestFit="1" customWidth="1"/>
    <col min="8" max="8" width="13.5546875" bestFit="1" customWidth="1"/>
    <col min="9" max="9" width="11.88671875" customWidth="1"/>
    <col min="10" max="10" width="13.44140625" bestFit="1" customWidth="1"/>
    <col min="11" max="11" width="11.77734375" customWidth="1"/>
    <col min="12" max="12" width="16.77734375" bestFit="1" customWidth="1"/>
    <col min="13" max="13" width="17.6640625" bestFit="1" customWidth="1"/>
    <col min="14" max="14" width="22.33203125" bestFit="1" customWidth="1"/>
    <col min="15" max="15" width="18.88671875" bestFit="1" customWidth="1"/>
  </cols>
  <sheetData>
    <row r="1" spans="1:15" x14ac:dyDescent="0.3">
      <c r="A1" s="3" t="s">
        <v>1</v>
      </c>
      <c r="B1" s="3" t="s">
        <v>2</v>
      </c>
      <c r="C1" s="3" t="s">
        <v>35</v>
      </c>
      <c r="D1" s="7" t="s">
        <v>36</v>
      </c>
      <c r="E1" s="4">
        <v>59450</v>
      </c>
      <c r="G1" s="7" t="s">
        <v>0</v>
      </c>
      <c r="H1" s="6">
        <v>150996</v>
      </c>
      <c r="J1" s="2">
        <f>SUM(C2:C12)+E1+H1+C13</f>
        <v>7160735</v>
      </c>
    </row>
    <row r="2" spans="1:15" x14ac:dyDescent="0.3">
      <c r="A2" t="s">
        <v>3</v>
      </c>
      <c r="C2" s="1">
        <v>72200</v>
      </c>
      <c r="D2" s="6" t="s">
        <v>28</v>
      </c>
      <c r="E2" s="6">
        <f>B16+B17+B21+B22+B24+B25</f>
        <v>0</v>
      </c>
      <c r="G2" s="6" t="s">
        <v>28</v>
      </c>
      <c r="H2" s="6"/>
    </row>
    <row r="3" spans="1:15" x14ac:dyDescent="0.3">
      <c r="A3" t="s">
        <v>52</v>
      </c>
      <c r="C3" s="2"/>
      <c r="D3" s="6" t="s">
        <v>29</v>
      </c>
      <c r="E3" s="4" t="e">
        <f>E1/E2</f>
        <v>#DIV/0!</v>
      </c>
      <c r="G3" s="6" t="s">
        <v>31</v>
      </c>
      <c r="H3" s="4" t="e">
        <f>H1/H2</f>
        <v>#DIV/0!</v>
      </c>
    </row>
    <row r="4" spans="1:15" x14ac:dyDescent="0.3">
      <c r="A4" t="s">
        <v>6</v>
      </c>
      <c r="B4" s="1"/>
      <c r="C4" s="2">
        <v>94978</v>
      </c>
    </row>
    <row r="5" spans="1:15" x14ac:dyDescent="0.3">
      <c r="A5" t="s">
        <v>5</v>
      </c>
      <c r="B5" s="1"/>
      <c r="C5" s="2">
        <v>171626</v>
      </c>
      <c r="E5" s="2"/>
    </row>
    <row r="6" spans="1:15" x14ac:dyDescent="0.3">
      <c r="A6" t="s">
        <v>42</v>
      </c>
      <c r="C6" s="2">
        <v>23300</v>
      </c>
      <c r="D6" s="2"/>
      <c r="E6" s="2"/>
    </row>
    <row r="7" spans="1:15" x14ac:dyDescent="0.3">
      <c r="A7" t="s">
        <v>7</v>
      </c>
      <c r="C7" s="2">
        <v>21108</v>
      </c>
      <c r="E7" t="s">
        <v>53</v>
      </c>
      <c r="F7" s="2">
        <f>E1+H1</f>
        <v>210446</v>
      </c>
    </row>
    <row r="8" spans="1:15" x14ac:dyDescent="0.3">
      <c r="A8" t="s">
        <v>47</v>
      </c>
      <c r="C8" s="1">
        <v>5076081</v>
      </c>
      <c r="E8" t="s">
        <v>54</v>
      </c>
      <c r="F8">
        <f>SUM(C14:C25)</f>
        <v>549</v>
      </c>
    </row>
    <row r="9" spans="1:15" x14ac:dyDescent="0.3">
      <c r="A9" t="s">
        <v>10</v>
      </c>
      <c r="C9" s="2">
        <f>553887+23913</f>
        <v>577800</v>
      </c>
      <c r="D9" s="2"/>
      <c r="E9" t="s">
        <v>55</v>
      </c>
      <c r="F9" s="2">
        <f>F7/F8</f>
        <v>383.32604735883422</v>
      </c>
    </row>
    <row r="10" spans="1:15" x14ac:dyDescent="0.3">
      <c r="A10" t="s">
        <v>45</v>
      </c>
      <c r="C10" s="1">
        <v>100627</v>
      </c>
    </row>
    <row r="11" spans="1:15" x14ac:dyDescent="0.3">
      <c r="A11" t="s">
        <v>46</v>
      </c>
      <c r="C11" s="2">
        <f>570000+199000</f>
        <v>769000</v>
      </c>
    </row>
    <row r="12" spans="1:15" x14ac:dyDescent="0.3">
      <c r="A12" t="s">
        <v>49</v>
      </c>
      <c r="C12" s="2"/>
    </row>
    <row r="13" spans="1:15" x14ac:dyDescent="0.3">
      <c r="A13" t="s">
        <v>48</v>
      </c>
      <c r="C13" s="2">
        <v>43569</v>
      </c>
    </row>
    <row r="14" spans="1:15" x14ac:dyDescent="0.3">
      <c r="A14" s="13" t="s">
        <v>33</v>
      </c>
      <c r="B14" s="13" t="s">
        <v>23</v>
      </c>
      <c r="C14" s="13" t="s">
        <v>25</v>
      </c>
      <c r="D14" s="13" t="s">
        <v>30</v>
      </c>
      <c r="E14" s="13" t="s">
        <v>34</v>
      </c>
      <c r="F14" s="14" t="s">
        <v>37</v>
      </c>
      <c r="G14" s="14" t="s">
        <v>6</v>
      </c>
      <c r="H14" s="13" t="s">
        <v>38</v>
      </c>
      <c r="I14" s="13" t="s">
        <v>39</v>
      </c>
      <c r="J14" s="13" t="s">
        <v>40</v>
      </c>
      <c r="K14" s="15" t="s">
        <v>41</v>
      </c>
      <c r="L14" s="17" t="s">
        <v>45</v>
      </c>
      <c r="M14" s="13" t="s">
        <v>46</v>
      </c>
      <c r="N14" s="13" t="s">
        <v>50</v>
      </c>
      <c r="O14" s="13" t="s">
        <v>51</v>
      </c>
    </row>
    <row r="15" spans="1:15" x14ac:dyDescent="0.3">
      <c r="A15" s="8" t="s">
        <v>11</v>
      </c>
      <c r="B15" s="8"/>
      <c r="C15" s="8"/>
      <c r="D15" s="9">
        <f>C15*383</f>
        <v>0</v>
      </c>
      <c r="E15" s="9">
        <f>$C$2/12</f>
        <v>6016.666666666667</v>
      </c>
      <c r="F15" s="10">
        <f>$C$3/12</f>
        <v>0</v>
      </c>
      <c r="G15" s="11">
        <f>$C$4/12</f>
        <v>7914.833333333333</v>
      </c>
      <c r="H15" s="9">
        <f>$C$5/12</f>
        <v>14302.166666666666</v>
      </c>
      <c r="I15" s="9">
        <f t="shared" ref="I15:I26" si="0">$C$6/12</f>
        <v>1941.6666666666667</v>
      </c>
      <c r="J15" s="9">
        <f>($C$7+$C$8)/12</f>
        <v>424765.75</v>
      </c>
      <c r="K15" s="16">
        <f>$C$9/12</f>
        <v>48150</v>
      </c>
      <c r="L15" s="4">
        <f>$C$10/12</f>
        <v>8385.5833333333339</v>
      </c>
      <c r="M15" s="4">
        <f>$C$11/12</f>
        <v>64083.333333333336</v>
      </c>
      <c r="N15" s="4">
        <f>$C$12/12</f>
        <v>0</v>
      </c>
      <c r="O15" s="6">
        <f>$C$13/12</f>
        <v>3630.75</v>
      </c>
    </row>
    <row r="16" spans="1:15" x14ac:dyDescent="0.3">
      <c r="A16" s="8" t="s">
        <v>12</v>
      </c>
      <c r="B16" s="8"/>
      <c r="C16" s="8">
        <v>11</v>
      </c>
      <c r="D16" s="9">
        <f t="shared" ref="D16:D26" si="1">C16*383</f>
        <v>4213</v>
      </c>
      <c r="E16" s="9">
        <f t="shared" ref="E16:E26" si="2">$C$2/12</f>
        <v>6016.666666666667</v>
      </c>
      <c r="F16" s="10">
        <f t="shared" ref="F16:F26" si="3">$C$3/12</f>
        <v>0</v>
      </c>
      <c r="G16" s="11">
        <f t="shared" ref="G16:G26" si="4">$C$4/12</f>
        <v>7914.833333333333</v>
      </c>
      <c r="H16" s="9">
        <f t="shared" ref="H16:H26" si="5">$C$5/12</f>
        <v>14302.166666666666</v>
      </c>
      <c r="I16" s="9">
        <f t="shared" si="0"/>
        <v>1941.6666666666667</v>
      </c>
      <c r="J16" s="9">
        <f t="shared" ref="J16:J26" si="6">($C$7+$C$8)/12</f>
        <v>424765.75</v>
      </c>
      <c r="K16" s="16">
        <f t="shared" ref="K16:K26" si="7">$C$9/12</f>
        <v>48150</v>
      </c>
      <c r="L16" s="4">
        <f t="shared" ref="L16:L26" si="8">$C$10/12</f>
        <v>8385.5833333333339</v>
      </c>
      <c r="M16" s="4">
        <f t="shared" ref="M16:M26" si="9">$C$11/12</f>
        <v>64083.333333333336</v>
      </c>
      <c r="N16" s="4">
        <f t="shared" ref="N16:N26" si="10">$C$12/12</f>
        <v>0</v>
      </c>
      <c r="O16" s="6">
        <f t="shared" ref="O16:O25" si="11">$C$13/12</f>
        <v>3630.75</v>
      </c>
    </row>
    <row r="17" spans="1:15" x14ac:dyDescent="0.3">
      <c r="A17" s="8" t="s">
        <v>13</v>
      </c>
      <c r="B17" s="8"/>
      <c r="C17" s="8">
        <v>284</v>
      </c>
      <c r="D17" s="9">
        <f t="shared" si="1"/>
        <v>108772</v>
      </c>
      <c r="E17" s="9">
        <f t="shared" si="2"/>
        <v>6016.666666666667</v>
      </c>
      <c r="F17" s="10">
        <f t="shared" si="3"/>
        <v>0</v>
      </c>
      <c r="G17" s="11">
        <f t="shared" si="4"/>
        <v>7914.833333333333</v>
      </c>
      <c r="H17" s="9">
        <f t="shared" si="5"/>
        <v>14302.166666666666</v>
      </c>
      <c r="I17" s="9">
        <f t="shared" si="0"/>
        <v>1941.6666666666667</v>
      </c>
      <c r="J17" s="9">
        <f t="shared" si="6"/>
        <v>424765.75</v>
      </c>
      <c r="K17" s="16">
        <f t="shared" si="7"/>
        <v>48150</v>
      </c>
      <c r="L17" s="4">
        <f t="shared" si="8"/>
        <v>8385.5833333333339</v>
      </c>
      <c r="M17" s="4">
        <f t="shared" si="9"/>
        <v>64083.333333333336</v>
      </c>
      <c r="N17" s="4">
        <f t="shared" si="10"/>
        <v>0</v>
      </c>
      <c r="O17" s="6">
        <f t="shared" si="11"/>
        <v>3630.75</v>
      </c>
    </row>
    <row r="18" spans="1:15" x14ac:dyDescent="0.3">
      <c r="A18" s="8" t="s">
        <v>14</v>
      </c>
      <c r="B18" s="8"/>
      <c r="C18" s="12">
        <v>2</v>
      </c>
      <c r="D18" s="9">
        <f t="shared" si="1"/>
        <v>766</v>
      </c>
      <c r="E18" s="9">
        <f t="shared" si="2"/>
        <v>6016.666666666667</v>
      </c>
      <c r="F18" s="10">
        <f t="shared" si="3"/>
        <v>0</v>
      </c>
      <c r="G18" s="11">
        <f t="shared" si="4"/>
        <v>7914.833333333333</v>
      </c>
      <c r="H18" s="9">
        <f t="shared" si="5"/>
        <v>14302.166666666666</v>
      </c>
      <c r="I18" s="9">
        <f t="shared" si="0"/>
        <v>1941.6666666666667</v>
      </c>
      <c r="J18" s="9">
        <f t="shared" si="6"/>
        <v>424765.75</v>
      </c>
      <c r="K18" s="16">
        <f t="shared" si="7"/>
        <v>48150</v>
      </c>
      <c r="L18" s="4">
        <f t="shared" si="8"/>
        <v>8385.5833333333339</v>
      </c>
      <c r="M18" s="4">
        <f t="shared" si="9"/>
        <v>64083.333333333336</v>
      </c>
      <c r="N18" s="4">
        <f t="shared" si="10"/>
        <v>0</v>
      </c>
      <c r="O18" s="6">
        <f t="shared" si="11"/>
        <v>3630.75</v>
      </c>
    </row>
    <row r="19" spans="1:15" x14ac:dyDescent="0.3">
      <c r="A19" s="8" t="s">
        <v>15</v>
      </c>
      <c r="B19" s="8"/>
      <c r="C19" s="8">
        <v>6</v>
      </c>
      <c r="D19" s="9">
        <f t="shared" si="1"/>
        <v>2298</v>
      </c>
      <c r="E19" s="9">
        <f t="shared" si="2"/>
        <v>6016.666666666667</v>
      </c>
      <c r="F19" s="10">
        <f t="shared" si="3"/>
        <v>0</v>
      </c>
      <c r="G19" s="11">
        <f t="shared" si="4"/>
        <v>7914.833333333333</v>
      </c>
      <c r="H19" s="9">
        <f t="shared" si="5"/>
        <v>14302.166666666666</v>
      </c>
      <c r="I19" s="9">
        <f t="shared" si="0"/>
        <v>1941.6666666666667</v>
      </c>
      <c r="J19" s="9">
        <f t="shared" si="6"/>
        <v>424765.75</v>
      </c>
      <c r="K19" s="16">
        <f t="shared" si="7"/>
        <v>48150</v>
      </c>
      <c r="L19" s="4">
        <f t="shared" si="8"/>
        <v>8385.5833333333339</v>
      </c>
      <c r="M19" s="4">
        <f t="shared" si="9"/>
        <v>64083.333333333336</v>
      </c>
      <c r="N19" s="4">
        <f t="shared" si="10"/>
        <v>0</v>
      </c>
      <c r="O19" s="6">
        <f t="shared" si="11"/>
        <v>3630.75</v>
      </c>
    </row>
    <row r="20" spans="1:15" x14ac:dyDescent="0.3">
      <c r="A20" s="8" t="s">
        <v>16</v>
      </c>
      <c r="B20" s="8"/>
      <c r="C20" s="8"/>
      <c r="D20" s="9">
        <f t="shared" si="1"/>
        <v>0</v>
      </c>
      <c r="E20" s="9">
        <f t="shared" si="2"/>
        <v>6016.666666666667</v>
      </c>
      <c r="F20" s="10">
        <f t="shared" si="3"/>
        <v>0</v>
      </c>
      <c r="G20" s="11">
        <f t="shared" si="4"/>
        <v>7914.833333333333</v>
      </c>
      <c r="H20" s="9">
        <f t="shared" si="5"/>
        <v>14302.166666666666</v>
      </c>
      <c r="I20" s="9">
        <f t="shared" si="0"/>
        <v>1941.6666666666667</v>
      </c>
      <c r="J20" s="9">
        <f t="shared" si="6"/>
        <v>424765.75</v>
      </c>
      <c r="K20" s="16">
        <f t="shared" si="7"/>
        <v>48150</v>
      </c>
      <c r="L20" s="4">
        <f t="shared" si="8"/>
        <v>8385.5833333333339</v>
      </c>
      <c r="M20" s="4">
        <f t="shared" si="9"/>
        <v>64083.333333333336</v>
      </c>
      <c r="N20" s="4">
        <f t="shared" si="10"/>
        <v>0</v>
      </c>
      <c r="O20" s="6">
        <f t="shared" si="11"/>
        <v>3630.75</v>
      </c>
    </row>
    <row r="21" spans="1:15" x14ac:dyDescent="0.3">
      <c r="A21" s="8" t="s">
        <v>17</v>
      </c>
      <c r="B21" s="8"/>
      <c r="C21" s="8">
        <v>85</v>
      </c>
      <c r="D21" s="9">
        <f t="shared" si="1"/>
        <v>32555</v>
      </c>
      <c r="E21" s="9">
        <f t="shared" si="2"/>
        <v>6016.666666666667</v>
      </c>
      <c r="F21" s="10">
        <f t="shared" si="3"/>
        <v>0</v>
      </c>
      <c r="G21" s="11">
        <f t="shared" si="4"/>
        <v>7914.833333333333</v>
      </c>
      <c r="H21" s="9">
        <f t="shared" si="5"/>
        <v>14302.166666666666</v>
      </c>
      <c r="I21" s="9">
        <f t="shared" si="0"/>
        <v>1941.6666666666667</v>
      </c>
      <c r="J21" s="9">
        <f t="shared" si="6"/>
        <v>424765.75</v>
      </c>
      <c r="K21" s="16">
        <f t="shared" si="7"/>
        <v>48150</v>
      </c>
      <c r="L21" s="4">
        <f t="shared" si="8"/>
        <v>8385.5833333333339</v>
      </c>
      <c r="M21" s="4">
        <f t="shared" si="9"/>
        <v>64083.333333333336</v>
      </c>
      <c r="N21" s="4">
        <f t="shared" si="10"/>
        <v>0</v>
      </c>
      <c r="O21" s="6">
        <f t="shared" si="11"/>
        <v>3630.75</v>
      </c>
    </row>
    <row r="22" spans="1:15" x14ac:dyDescent="0.3">
      <c r="A22" s="8" t="s">
        <v>18</v>
      </c>
      <c r="B22" s="8"/>
      <c r="C22" s="8">
        <v>2</v>
      </c>
      <c r="D22" s="9">
        <f t="shared" si="1"/>
        <v>766</v>
      </c>
      <c r="E22" s="9">
        <f t="shared" si="2"/>
        <v>6016.666666666667</v>
      </c>
      <c r="F22" s="10">
        <f t="shared" si="3"/>
        <v>0</v>
      </c>
      <c r="G22" s="11">
        <f t="shared" si="4"/>
        <v>7914.833333333333</v>
      </c>
      <c r="H22" s="9">
        <f t="shared" si="5"/>
        <v>14302.166666666666</v>
      </c>
      <c r="I22" s="9">
        <f t="shared" si="0"/>
        <v>1941.6666666666667</v>
      </c>
      <c r="J22" s="9">
        <f t="shared" si="6"/>
        <v>424765.75</v>
      </c>
      <c r="K22" s="16">
        <f t="shared" si="7"/>
        <v>48150</v>
      </c>
      <c r="L22" s="4">
        <f t="shared" si="8"/>
        <v>8385.5833333333339</v>
      </c>
      <c r="M22" s="4">
        <f t="shared" si="9"/>
        <v>64083.333333333336</v>
      </c>
      <c r="N22" s="4">
        <f t="shared" si="10"/>
        <v>0</v>
      </c>
      <c r="O22" s="6">
        <f t="shared" si="11"/>
        <v>3630.75</v>
      </c>
    </row>
    <row r="23" spans="1:15" x14ac:dyDescent="0.3">
      <c r="A23" s="8" t="s">
        <v>19</v>
      </c>
      <c r="B23" s="8"/>
      <c r="C23" s="8">
        <v>111</v>
      </c>
      <c r="D23" s="9">
        <f t="shared" si="1"/>
        <v>42513</v>
      </c>
      <c r="E23" s="9">
        <f t="shared" si="2"/>
        <v>6016.666666666667</v>
      </c>
      <c r="F23" s="10">
        <f t="shared" si="3"/>
        <v>0</v>
      </c>
      <c r="G23" s="11">
        <f t="shared" si="4"/>
        <v>7914.833333333333</v>
      </c>
      <c r="H23" s="9">
        <f t="shared" si="5"/>
        <v>14302.166666666666</v>
      </c>
      <c r="I23" s="9">
        <f t="shared" si="0"/>
        <v>1941.6666666666667</v>
      </c>
      <c r="J23" s="9">
        <f t="shared" si="6"/>
        <v>424765.75</v>
      </c>
      <c r="K23" s="16">
        <f t="shared" si="7"/>
        <v>48150</v>
      </c>
      <c r="L23" s="4">
        <f t="shared" si="8"/>
        <v>8385.5833333333339</v>
      </c>
      <c r="M23" s="4">
        <f t="shared" si="9"/>
        <v>64083.333333333336</v>
      </c>
      <c r="N23" s="4">
        <f t="shared" si="10"/>
        <v>0</v>
      </c>
      <c r="O23" s="6">
        <f t="shared" si="11"/>
        <v>3630.75</v>
      </c>
    </row>
    <row r="24" spans="1:15" x14ac:dyDescent="0.3">
      <c r="A24" s="8" t="s">
        <v>20</v>
      </c>
      <c r="B24" s="8"/>
      <c r="C24" s="8">
        <v>4</v>
      </c>
      <c r="D24" s="9">
        <f t="shared" si="1"/>
        <v>1532</v>
      </c>
      <c r="E24" s="9">
        <f t="shared" si="2"/>
        <v>6016.666666666667</v>
      </c>
      <c r="F24" s="10">
        <f t="shared" si="3"/>
        <v>0</v>
      </c>
      <c r="G24" s="11">
        <f t="shared" si="4"/>
        <v>7914.833333333333</v>
      </c>
      <c r="H24" s="9">
        <f t="shared" si="5"/>
        <v>14302.166666666666</v>
      </c>
      <c r="I24" s="9">
        <f t="shared" si="0"/>
        <v>1941.6666666666667</v>
      </c>
      <c r="J24" s="9">
        <f t="shared" si="6"/>
        <v>424765.75</v>
      </c>
      <c r="K24" s="16">
        <f t="shared" si="7"/>
        <v>48150</v>
      </c>
      <c r="L24" s="4">
        <f t="shared" si="8"/>
        <v>8385.5833333333339</v>
      </c>
      <c r="M24" s="4">
        <f t="shared" si="9"/>
        <v>64083.333333333336</v>
      </c>
      <c r="N24" s="4">
        <f t="shared" si="10"/>
        <v>0</v>
      </c>
      <c r="O24" s="6">
        <f t="shared" si="11"/>
        <v>3630.75</v>
      </c>
    </row>
    <row r="25" spans="1:15" x14ac:dyDescent="0.3">
      <c r="A25" s="8" t="s">
        <v>21</v>
      </c>
      <c r="B25" s="8"/>
      <c r="C25" s="8">
        <v>44</v>
      </c>
      <c r="D25" s="9">
        <f t="shared" si="1"/>
        <v>16852</v>
      </c>
      <c r="E25" s="9">
        <f t="shared" si="2"/>
        <v>6016.666666666667</v>
      </c>
      <c r="F25" s="10">
        <f t="shared" si="3"/>
        <v>0</v>
      </c>
      <c r="G25" s="11">
        <f t="shared" si="4"/>
        <v>7914.833333333333</v>
      </c>
      <c r="H25" s="9">
        <f t="shared" si="5"/>
        <v>14302.166666666666</v>
      </c>
      <c r="I25" s="9">
        <f t="shared" si="0"/>
        <v>1941.6666666666667</v>
      </c>
      <c r="J25" s="9">
        <f t="shared" si="6"/>
        <v>424765.75</v>
      </c>
      <c r="K25" s="16">
        <f t="shared" si="7"/>
        <v>48150</v>
      </c>
      <c r="L25" s="4">
        <f t="shared" si="8"/>
        <v>8385.5833333333339</v>
      </c>
      <c r="M25" s="4">
        <f t="shared" si="9"/>
        <v>64083.333333333336</v>
      </c>
      <c r="N25" s="4">
        <f t="shared" si="10"/>
        <v>0</v>
      </c>
      <c r="O25" s="6">
        <f t="shared" si="11"/>
        <v>3630.75</v>
      </c>
    </row>
    <row r="26" spans="1:15" x14ac:dyDescent="0.3">
      <c r="A26" s="8" t="s">
        <v>22</v>
      </c>
      <c r="B26" s="8"/>
      <c r="C26" s="8"/>
      <c r="D26" s="9">
        <f t="shared" si="1"/>
        <v>0</v>
      </c>
      <c r="E26" s="9">
        <f t="shared" si="2"/>
        <v>6016.666666666667</v>
      </c>
      <c r="F26" s="10">
        <f t="shared" si="3"/>
        <v>0</v>
      </c>
      <c r="G26" s="11">
        <f t="shared" si="4"/>
        <v>7914.833333333333</v>
      </c>
      <c r="H26" s="9">
        <f t="shared" si="5"/>
        <v>14302.166666666666</v>
      </c>
      <c r="I26" s="9">
        <f t="shared" si="0"/>
        <v>1941.6666666666667</v>
      </c>
      <c r="J26" s="9">
        <f t="shared" si="6"/>
        <v>424765.75</v>
      </c>
      <c r="K26" s="16">
        <f t="shared" si="7"/>
        <v>48150</v>
      </c>
      <c r="L26" s="4">
        <f t="shared" si="8"/>
        <v>8385.5833333333339</v>
      </c>
      <c r="M26" s="4">
        <f t="shared" si="9"/>
        <v>64083.333333333336</v>
      </c>
      <c r="N26" s="4">
        <f t="shared" si="10"/>
        <v>0</v>
      </c>
      <c r="O26" s="6">
        <f>$C$13/12</f>
        <v>3630.75</v>
      </c>
    </row>
    <row r="27" spans="1:15" x14ac:dyDescent="0.3">
      <c r="D27" s="2"/>
      <c r="E27" s="2"/>
      <c r="F27" s="2"/>
      <c r="G27" s="2"/>
      <c r="H27" s="2"/>
      <c r="I27" s="2"/>
      <c r="J27" s="2"/>
      <c r="K27" s="2"/>
      <c r="L27" s="2"/>
      <c r="M27" s="2"/>
    </row>
    <row r="29" spans="1:15" x14ac:dyDescent="0.3">
      <c r="A29" s="18"/>
      <c r="B29" s="19"/>
    </row>
    <row r="30" spans="1:15" x14ac:dyDescent="0.3">
      <c r="A30" s="18"/>
      <c r="B30" s="19"/>
    </row>
    <row r="31" spans="1:15" x14ac:dyDescent="0.3">
      <c r="A31" s="18"/>
      <c r="B31" s="19"/>
    </row>
    <row r="32" spans="1:15" x14ac:dyDescent="0.3">
      <c r="A32" s="18"/>
      <c r="B32" s="19"/>
    </row>
    <row r="33" spans="1:2" x14ac:dyDescent="0.3">
      <c r="A33" s="18"/>
      <c r="B33" s="19"/>
    </row>
    <row r="34" spans="1:2" x14ac:dyDescent="0.3">
      <c r="A34" s="18"/>
      <c r="B34" s="19"/>
    </row>
    <row r="35" spans="1:2" x14ac:dyDescent="0.3">
      <c r="A35" s="18"/>
      <c r="B35" s="19"/>
    </row>
    <row r="36" spans="1:2" x14ac:dyDescent="0.3">
      <c r="A36" s="18"/>
      <c r="B36" s="19"/>
    </row>
    <row r="37" spans="1:2" x14ac:dyDescent="0.3">
      <c r="A37" s="18"/>
      <c r="B37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tabela</vt:lpstr>
      <vt:lpstr>JANUAR 2026</vt:lpstr>
      <vt:lpstr>JANUAR 2025</vt:lpstr>
      <vt:lpstr>FEBRUAR 2025</vt:lpstr>
      <vt:lpstr>MART 2025</vt:lpstr>
      <vt:lpstr>APRIL 2025</vt:lpstr>
      <vt:lpstr>MAJ 2025</vt:lpstr>
      <vt:lpstr>JUN 2025</vt:lpstr>
      <vt:lpstr>JUL 2025</vt:lpstr>
      <vt:lpstr>AVGUST 2025</vt:lpstr>
      <vt:lpstr>SEPT 2025</vt:lpstr>
      <vt:lpstr>OKT 2025</vt:lpstr>
      <vt:lpstr>NOV 2025</vt:lpstr>
      <vt:lpstr>DEC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Vanja Ponorac</dc:creator>
  <cp:lastModifiedBy>Vanja Ponorac</cp:lastModifiedBy>
  <dcterms:created xsi:type="dcterms:W3CDTF">2026-02-24T14:04:45Z</dcterms:created>
  <dcterms:modified xsi:type="dcterms:W3CDTF">2026-03-02T13:18:04Z</dcterms:modified>
</cp:coreProperties>
</file>